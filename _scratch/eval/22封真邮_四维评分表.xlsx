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使用说明" sheetId="1" state="visible" r:id="rId1"/>
    <sheet xmlns:r="http://schemas.openxmlformats.org/officeDocument/2006/relationships" name="基线评分(修复前)" sheetId="2" state="visible" r:id="rId2"/>
    <sheet xmlns:r="http://schemas.openxmlformats.org/officeDocument/2006/relationships" name="复测评分(Wave1后)"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Noto Sans CJK SC"/>
      <family val="2"/>
      <b val="1"/>
      <sz val="14"/>
    </font>
    <font>
      <name val="Arial"/>
      <charset val="1"/>
      <family val="0"/>
      <sz val="10"/>
    </font>
    <font>
      <name val="Noto Sans CJK SC"/>
      <family val="2"/>
      <sz val="10"/>
    </font>
    <font>
      <name val="Noto Sans CJK SC"/>
      <family val="2"/>
      <i val="1"/>
      <color rgb="FF6B7280"/>
      <sz val="10"/>
    </font>
    <font>
      <name val="Arial"/>
      <charset val="1"/>
      <family val="0"/>
      <i val="1"/>
      <color rgb="FF6B7280"/>
      <sz val="10"/>
    </font>
    <font>
      <name val="Noto Sans CJK SC"/>
      <family val="2"/>
      <b val="1"/>
      <color rgb="FFFFFFFF"/>
      <sz val="10"/>
    </font>
    <font>
      <name val="Arial"/>
      <charset val="1"/>
      <family val="0"/>
      <b val="1"/>
      <color rgb="FFFFFFFF"/>
      <sz val="10"/>
    </font>
    <font>
      <name val="Noto Sans CJK SC"/>
      <family val="2"/>
      <b val="1"/>
      <color rgb="FFFFFFFF"/>
      <sz val="11"/>
    </font>
    <font>
      <name val="Arial"/>
      <charset val="1"/>
      <family val="0"/>
      <b val="1"/>
      <sz val="10"/>
    </font>
    <font>
      <name val="Noto Sans CJK SC"/>
      <family val="2"/>
      <b val="1"/>
      <sz val="10"/>
    </font>
    <font>
      <color rgb="000563C1"/>
      <u val="single"/>
    </font>
  </fonts>
  <fills count="4">
    <fill>
      <patternFill/>
    </fill>
    <fill>
      <patternFill patternType="gray125"/>
    </fill>
    <fill>
      <patternFill patternType="solid">
        <fgColor rgb="FF1F2937"/>
        <bgColor rgb="FF333300"/>
      </patternFill>
    </fill>
    <fill>
      <patternFill patternType="solid">
        <fgColor rgb="FFF3F4F6"/>
        <bgColor rgb="FFFFFFFF"/>
      </patternFill>
    </fill>
  </fills>
  <borders count="5">
    <border>
      <left/>
      <right/>
      <top/>
      <bottom/>
      <diagonal/>
    </border>
    <border>
      <left style="thin">
        <color rgb="FFD1D5DB"/>
      </left>
      <right style="thin">
        <color rgb="FFD1D5DB"/>
      </right>
      <top style="thin">
        <color rgb="FFD1D5DB"/>
      </top>
      <bottom style="thin">
        <color rgb="FFD1D5DB"/>
      </bottom>
      <diagonal/>
    </border>
    <border>
      <left style="thin">
        <color rgb="FFD1D5DB"/>
      </left>
      <right/>
      <top style="thin">
        <color rgb="FFD1D5DB"/>
      </top>
      <bottom style="thin">
        <color rgb="FFD1D5DB"/>
      </bottom>
      <diagonal/>
    </border>
    <border>
      <left/>
      <right/>
      <top style="thin">
        <color rgb="FFD1D5DB"/>
      </top>
      <bottom/>
      <diagonal/>
    </border>
    <border>
      <left/>
      <right/>
      <top style="thin">
        <color rgb="FFD1D5DB"/>
      </top>
      <bottom style="thin">
        <color rgb="FFD1D5DB"/>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4" fillId="0" borderId="0" applyAlignment="1" pivotButton="0" quotePrefix="0" xfId="0">
      <alignment horizontal="general" vertical="bottom"/>
    </xf>
    <xf numFmtId="0" fontId="8" fillId="0" borderId="0" applyAlignment="1" pivotButton="0" quotePrefix="0" xfId="0">
      <alignment horizontal="general" vertical="bottom"/>
    </xf>
    <xf numFmtId="0" fontId="10"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12" fillId="2" borderId="0" applyAlignment="1" pivotButton="0" quotePrefix="0" xfId="0">
      <alignment horizontal="general" vertical="bottom"/>
    </xf>
    <xf numFmtId="0" fontId="7" fillId="0" borderId="2" applyAlignment="1" pivotButton="0" quotePrefix="0" xfId="0">
      <alignment horizontal="general" vertical="bottom"/>
    </xf>
    <xf numFmtId="1" fontId="13" fillId="0" borderId="1" applyAlignment="1" pivotButton="0" quotePrefix="0" xfId="0">
      <alignment horizontal="center" vertical="center" wrapText="1"/>
    </xf>
    <xf numFmtId="164" fontId="13" fillId="0" borderId="1" applyAlignment="1" pivotButton="0" quotePrefix="0" xfId="0">
      <alignment horizontal="center" vertical="center" wrapText="1"/>
    </xf>
    <xf numFmtId="0" fontId="14" fillId="0"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10"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6"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6" fillId="3" borderId="1" applyAlignment="1" pivotButton="0" quotePrefix="0" xfId="0">
      <alignment horizontal="left" vertical="center" wrapText="1"/>
    </xf>
    <xf numFmtId="0" fontId="12" fillId="2" borderId="0" applyAlignment="1" pivotButton="0" quotePrefix="0" xfId="0">
      <alignment horizontal="general" vertical="bottom"/>
    </xf>
    <xf numFmtId="0" fontId="7" fillId="0" borderId="2" applyAlignment="1" pivotButton="0" quotePrefix="0" xfId="0">
      <alignment horizontal="general" vertical="bottom"/>
    </xf>
    <xf numFmtId="0" fontId="0" fillId="0" borderId="4" pivotButton="0" quotePrefix="0" xfId="0"/>
    <xf numFmtId="1" fontId="13" fillId="0" borderId="1" applyAlignment="1" pivotButton="0" quotePrefix="0" xfId="0">
      <alignment horizontal="center" vertical="center" wrapText="1"/>
    </xf>
    <xf numFmtId="164" fontId="13" fillId="0" borderId="1" applyAlignment="1" pivotButton="0" quotePrefix="0" xfId="0">
      <alignment horizontal="center" vertical="center" wrapText="1"/>
    </xf>
    <xf numFmtId="0" fontId="14" fillId="0" borderId="2" applyAlignment="1" pivotButton="0" quotePrefix="0" xfId="0">
      <alignment horizontal="general" vertical="bottom"/>
    </xf>
    <xf numFmtId="0" fontId="6" fillId="0" borderId="1" applyAlignment="1" pivotButton="0" quotePrefix="0" xfId="0">
      <alignment vertical="top" wrapText="1"/>
    </xf>
    <xf numFmtId="0" fontId="6" fillId="3" borderId="1" applyAlignment="1" pivotButton="0" quotePrefix="0" xfId="0">
      <alignment vertical="top" wrapText="1"/>
    </xf>
    <xf numFmtId="0" fontId="15" fillId="0" borderId="0" applyAlignment="1" pivotButton="0" quotePrefix="0" xfId="0">
      <alignment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
    <dxf>
      <fill>
        <patternFill>
          <bgColor rgb="FFD1FAE5"/>
        </patternFill>
      </fill>
    </dxf>
    <dxf>
      <fill>
        <patternFill>
          <bgColor rgb="FF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3F4F6"/>
      <rgbColor rgb="FFCCFF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CCFFFF"/>
      <rgbColor rgb="FFD1FAE5"/>
      <rgbColor rgb="FFFFFF99"/>
      <rgbColor rgb="FF99CCFF"/>
      <rgbColor rgb="FFFF99CC"/>
      <rgbColor rgb="FFCC99FF"/>
      <rgbColor rgb="FFFEE2E2"/>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file:///D:/pythonProject/manual-kb/samples/customer-service-emails/0001-at12131s-gate-no-response.md" TargetMode="External" Id="rId1"/><Relationship Type="http://schemas.openxmlformats.org/officeDocument/2006/relationships/hyperlink" Target="file:///D:/pythonProject/manual-kb/samples/customer-service-emails/0002-a8132-et24-motor-no-power.md" TargetMode="External" Id="rId2"/><Relationship Type="http://schemas.openxmlformats.org/officeDocument/2006/relationships/hyperlink" Target="file:///D:/pythonProject/manual-kb/samples/customer-service-emails/0003-ad8-leds-respond-gate-wont-open.md" TargetMode="External" Id="rId3"/><Relationship Type="http://schemas.openxmlformats.org/officeDocument/2006/relationships/hyperlink" Target="file:///D:/pythonProject/manual-kb/samples/customer-service-emails/0004-pw302-two-separate-gates-recommendation.md" TargetMode="External" Id="rId4"/><Relationship Type="http://schemas.openxmlformats.org/officeDocument/2006/relationships/hyperlink" Target="file:///D:/pythonProject/manual-kb/samples/customer-service-emails/0005-at12132s-dual-swing-solar-jy9132-recommendation.md" TargetMode="External" Id="rId5"/><Relationship Type="http://schemas.openxmlformats.org/officeDocument/2006/relationships/hyperlink" Target="file:///D:/pythonProject/manual-kb/samples/customer-service-emails/0006-a8131-vs-at12131-comparison.md" TargetMode="External" Id="rId6"/><Relationship Type="http://schemas.openxmlformats.org/officeDocument/2006/relationships/hyperlink" Target="file:///D:/pythonProject/manual-kb/samples/customer-service-emails/0007-dual-swing-model-comparison-uk-remotes.md" TargetMode="External" Id="rId7"/><Relationship Type="http://schemas.openxmlformats.org/officeDocument/2006/relationships/hyperlink" Target="file:///D:/pythonProject/manual-kb/samples/customer-service-emails/0008-pw502-tc148-push-button-not-working.md" TargetMode="External" Id="rId8"/><Relationship Type="http://schemas.openxmlformats.org/officeDocument/2006/relationships/hyperlink" Target="file:///D:/pythonProject/manual-kb/samples/customer-service-emails/0009-at6131-tc148-erratic-wired-button.md" TargetMode="External" Id="rId9"/><Relationship Type="http://schemas.openxmlformats.org/officeDocument/2006/relationships/hyperlink" Target="file:///D:/pythonProject/manual-kb/samples/customer-service-emails/0010-a8131-tc148-no-response.md" TargetMode="External" Id="rId10"/><Relationship Type="http://schemas.openxmlformats.org/officeDocument/2006/relationships/hyperlink" Target="file:///D:/pythonProject/manual-kb/samples/customer-service-emails/0011-a8132-ad8-at1202-pw802-comparison.md" TargetMode="External" Id="rId11"/><Relationship Type="http://schemas.openxmlformats.org/officeDocument/2006/relationships/hyperlink" Target="file:///D:/pythonProject/manual-kb/samples/customer-service-emails/0012-at12131-limit-overswing-stops-halfway.md" TargetMode="External" Id="rId12"/><Relationship Type="http://schemas.openxmlformats.org/officeDocument/2006/relationships/hyperlink" Target="file:///D:/pythonProject/manual-kb/samples/customer-service-emails/0013-a3s-stops-before-fully-open.md" TargetMode="External" Id="rId13"/><Relationship Type="http://schemas.openxmlformats.org/officeDocument/2006/relationships/hyperlink" Target="file:///D:/pythonProject/manual-kb/samples/customer-service-emails/0014-at602-limit-overclose-magnetic-ring.md" TargetMode="External" Id="rId14"/><Relationship Type="http://schemas.openxmlformats.org/officeDocument/2006/relationships/hyperlink" Target="file:///D:/pythonProject/manual-kb/samples/customer-service-emails/0015-ad8s-auto-close-reverses-second-try.md" TargetMode="External" Id="rId15"/><Relationship Type="http://schemas.openxmlformats.org/officeDocument/2006/relationships/hyperlink" Target="file:///D:/pythonProject/manual-kb/samples/customer-service-emails/0016-pw802-red-light-flashing-wont-work.md" TargetMode="External" Id="rId16"/><Relationship Type="http://schemas.openxmlformats.org/officeDocument/2006/relationships/hyperlink" Target="file:///D:/pythonProject/manual-kb/samples/customer-service-emails/0017-a5131-arm-failed-again-warranty.md" TargetMode="External" Id="rId17"/><Relationship Type="http://schemas.openxmlformats.org/officeDocument/2006/relationships/hyperlink" Target="file:///D:/pythonProject/manual-kb/samples/customer-service-emails/0018-a5-a8-nothing-works-battery-ac.md" TargetMode="External" Id="rId18"/><Relationship Type="http://schemas.openxmlformats.org/officeDocument/2006/relationships/hyperlink" Target="file:///D:/pythonProject/manual-kb/samples/customer-service-emails/0019-ad5s-opens-too-far-remote-not-recognized.md" TargetMode="External" Id="rId19"/><Relationship Type="http://schemas.openxmlformats.org/officeDocument/2006/relationships/hyperlink" Target="file:///D:/pythonProject/manual-kb/samples/customer-service-emails/0020-at1202-wont-stay-closed-slave-arm.md" TargetMode="External" Id="rId20"/><Relationship Type="http://schemas.openxmlformats.org/officeDocument/2006/relationships/hyperlink" Target="file:///D:/pythonProject/manual-kb/samples/customer-service-emails/0021-a8132-board-power-arms-wont-move.md" TargetMode="External" Id="rId21"/><Relationship Type="http://schemas.openxmlformats.org/officeDocument/2006/relationships/hyperlink" Target="file:///D:/pythonProject/manual-kb/samples/customer-service-emails/0022-a5132-opens-then-recloses-resolved.md" TargetMode="External" Id="rId22"/></Relationships>
</file>

<file path=xl/worksheets/_rels/sheet3.xml.rels><Relationships xmlns="http://schemas.openxmlformats.org/package/2006/relationships"><Relationship Type="http://schemas.openxmlformats.org/officeDocument/2006/relationships/hyperlink" Target="file:///D:/pythonProject/manual-kb/samples/customer-service-emails/0001-at12131s-gate-no-response.md" TargetMode="External" Id="rId1"/><Relationship Type="http://schemas.openxmlformats.org/officeDocument/2006/relationships/hyperlink" Target="file:///D:/pythonProject/manual-kb/samples/customer-service-emails/0002-a8132-et24-motor-no-power.md" TargetMode="External" Id="rId2"/><Relationship Type="http://schemas.openxmlformats.org/officeDocument/2006/relationships/hyperlink" Target="file:///D:/pythonProject/manual-kb/samples/customer-service-emails/0003-ad8-leds-respond-gate-wont-open.md" TargetMode="External" Id="rId3"/><Relationship Type="http://schemas.openxmlformats.org/officeDocument/2006/relationships/hyperlink" Target="file:///D:/pythonProject/manual-kb/samples/customer-service-emails/0004-pw302-two-separate-gates-recommendation.md" TargetMode="External" Id="rId4"/><Relationship Type="http://schemas.openxmlformats.org/officeDocument/2006/relationships/hyperlink" Target="file:///D:/pythonProject/manual-kb/samples/customer-service-emails/0005-at12132s-dual-swing-solar-jy9132-recommendation.md" TargetMode="External" Id="rId5"/><Relationship Type="http://schemas.openxmlformats.org/officeDocument/2006/relationships/hyperlink" Target="file:///D:/pythonProject/manual-kb/samples/customer-service-emails/0006-a8131-vs-at12131-comparison.md" TargetMode="External" Id="rId6"/><Relationship Type="http://schemas.openxmlformats.org/officeDocument/2006/relationships/hyperlink" Target="file:///D:/pythonProject/manual-kb/samples/customer-service-emails/0007-dual-swing-model-comparison-uk-remotes.md" TargetMode="External" Id="rId7"/><Relationship Type="http://schemas.openxmlformats.org/officeDocument/2006/relationships/hyperlink" Target="file:///D:/pythonProject/manual-kb/samples/customer-service-emails/0008-pw502-tc148-push-button-not-working.md" TargetMode="External" Id="rId8"/><Relationship Type="http://schemas.openxmlformats.org/officeDocument/2006/relationships/hyperlink" Target="file:///D:/pythonProject/manual-kb/samples/customer-service-emails/0009-at6131-tc148-erratic-wired-button.md" TargetMode="External" Id="rId9"/><Relationship Type="http://schemas.openxmlformats.org/officeDocument/2006/relationships/hyperlink" Target="file:///D:/pythonProject/manual-kb/samples/customer-service-emails/0010-a8131-tc148-no-response.md" TargetMode="External" Id="rId10"/><Relationship Type="http://schemas.openxmlformats.org/officeDocument/2006/relationships/hyperlink" Target="file:///D:/pythonProject/manual-kb/samples/customer-service-emails/0011-a8132-ad8-at1202-pw802-comparison.md" TargetMode="External" Id="rId11"/><Relationship Type="http://schemas.openxmlformats.org/officeDocument/2006/relationships/hyperlink" Target="file:///D:/pythonProject/manual-kb/samples/customer-service-emails/0012-at12131-limit-overswing-stops-halfway.md" TargetMode="External" Id="rId12"/><Relationship Type="http://schemas.openxmlformats.org/officeDocument/2006/relationships/hyperlink" Target="file:///D:/pythonProject/manual-kb/samples/customer-service-emails/0013-a3s-stops-before-fully-open.md" TargetMode="External" Id="rId13"/><Relationship Type="http://schemas.openxmlformats.org/officeDocument/2006/relationships/hyperlink" Target="file:///D:/pythonProject/manual-kb/samples/customer-service-emails/0014-at602-limit-overclose-magnetic-ring.md" TargetMode="External" Id="rId14"/><Relationship Type="http://schemas.openxmlformats.org/officeDocument/2006/relationships/hyperlink" Target="file:///D:/pythonProject/manual-kb/samples/customer-service-emails/0015-ad8s-auto-close-reverses-second-try.md" TargetMode="External" Id="rId15"/><Relationship Type="http://schemas.openxmlformats.org/officeDocument/2006/relationships/hyperlink" Target="file:///D:/pythonProject/manual-kb/samples/customer-service-emails/0016-pw802-red-light-flashing-wont-work.md" TargetMode="External" Id="rId16"/><Relationship Type="http://schemas.openxmlformats.org/officeDocument/2006/relationships/hyperlink" Target="file:///D:/pythonProject/manual-kb/samples/customer-service-emails/0017-a5131-arm-failed-again-warranty.md" TargetMode="External" Id="rId17"/><Relationship Type="http://schemas.openxmlformats.org/officeDocument/2006/relationships/hyperlink" Target="file:///D:/pythonProject/manual-kb/samples/customer-service-emails/0018-a5-a8-nothing-works-battery-ac.md" TargetMode="External" Id="rId18"/><Relationship Type="http://schemas.openxmlformats.org/officeDocument/2006/relationships/hyperlink" Target="file:///D:/pythonProject/manual-kb/samples/customer-service-emails/0019-ad5s-opens-too-far-remote-not-recognized.md" TargetMode="External" Id="rId19"/><Relationship Type="http://schemas.openxmlformats.org/officeDocument/2006/relationships/hyperlink" Target="file:///D:/pythonProject/manual-kb/samples/customer-service-emails/0020-at1202-wont-stay-closed-slave-arm.md" TargetMode="External" Id="rId20"/><Relationship Type="http://schemas.openxmlformats.org/officeDocument/2006/relationships/hyperlink" Target="file:///D:/pythonProject/manual-kb/samples/customer-service-emails/0021-a8132-board-power-arms-wont-move.md" TargetMode="External" Id="rId21"/><Relationship Type="http://schemas.openxmlformats.org/officeDocument/2006/relationships/hyperlink" Target="file:///D:/pythonProject/manual-kb/samples/customer-service-emails/0022-a5132-opens-then-recloses-resolved.md" TargetMode="External" Id="rId22"/></Relationships>
</file>

<file path=xl/worksheets/sheet1.xml><?xml version="1.0" encoding="utf-8"?>
<worksheet xmlns="http://schemas.openxmlformats.org/spreadsheetml/2006/main">
  <sheetPr filterMode="0">
    <outlinePr summaryBelow="1" summaryRight="1"/>
    <pageSetUpPr fitToPage="0"/>
  </sheetPr>
  <dimension ref="A1:A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5" customWidth="1" style="18" min="1" max="1"/>
  </cols>
  <sheetData>
    <row r="1" ht="21.6" customHeight="1" s="19">
      <c r="A1" s="20" t="inlineStr">
        <is>
          <t>22 封真邮四维评分 v2 · 使用说明（含 MVP-19 判据）</t>
        </is>
      </c>
    </row>
    <row r="2" ht="15" customHeight="1" s="19">
      <c r="A2" s="21" t="n"/>
    </row>
    <row r="3" ht="15" customHeight="1" s="19">
      <c r="A3" s="21" t="inlineStr">
        <is>
          <t>v2 相对上一版的改动：</t>
        </is>
      </c>
    </row>
    <row r="4" ht="15" customHeight="1" s="19">
      <c r="A4" s="22" t="inlineStr">
        <is>
          <t xml:space="preserve">  加了「计入MVP19」列。仓库 cs_client_requirement_standard.md §2.3/§5.5 的发链判据是</t>
        </is>
      </c>
    </row>
    <row r="5" ht="15" customHeight="1" s="19">
      <c r="A5" s="22" t="inlineStr">
        <is>
          <t xml:space="preserve">  「19 封 MVP 真邮，严格④ ≥16/19」，不是笼统的 22 封 80%。TC148 三封由 batch json 的 mvp19=否 标识</t>
        </is>
      </c>
    </row>
    <row r="6" ht="15" customHeight="1" s="19">
      <c r="A6" s="22" t="inlineStr">
        <is>
          <t xml:space="preserve">  （灰底显示），不计入判据分母，但保留打分行，方便 TC148 自己的修复进度不丢档。</t>
        </is>
      </c>
    </row>
    <row r="7" ht="15" customHeight="1" s="19">
      <c r="A7" s="21" t="n"/>
    </row>
    <row r="8" ht="15" customHeight="1" s="19">
      <c r="A8" s="22" t="inlineStr">
        <is>
          <t xml:space="preserve">  「计入MVP19」列：照抄 cs_22mail_eval_round0.json 里每条结果的 mvp19 字段</t>
        </is>
      </c>
    </row>
    <row r="9" ht="15" customHeight="1" s="19">
      <c r="A9" s="21" t="inlineStr">
        <is>
          <t xml:space="preserve">  （由 cs_22mail_batch_runner.py 根据 expected_library / matched_library 是否为 tc148 自动判定），</t>
        </is>
      </c>
    </row>
    <row r="10" ht="15" customHeight="1" s="19">
      <c r="A10" s="22" t="inlineStr">
        <is>
          <t xml:space="preserve">  无需人工猜 MAIL 编号。若路由异常导致 mvp19 与预期不符，以 scenario expected_library 为准修正。</t>
        </is>
      </c>
    </row>
    <row r="11" ht="15" customHeight="1" s="19">
      <c r="A11" s="21" t="n"/>
    </row>
    <row r="12" ht="15" customHeight="1" s="19">
      <c r="A12" s="22" t="inlineStr">
        <is>
          <t>四个维度：</t>
        </is>
      </c>
    </row>
    <row r="13" ht="15" customHeight="1" s="19">
      <c r="A13" s="22" t="inlineStr">
        <is>
          <t>① 机型/问题命中——对/错。</t>
        </is>
      </c>
    </row>
    <row r="14" ht="15" customHeight="1" s="19">
      <c r="A14" s="22" t="inlineStr">
        <is>
          <t>② 英文回复可用度——直接可发 / 小改可发 / 需重写（需重写 = 不达标）。</t>
        </is>
      </c>
    </row>
    <row r="15" ht="15" customHeight="1" s="19">
      <c r="A15" s="22" t="inlineStr">
        <is>
          <t>③ 图片配对——配对相关 / 图不对 / 该配没配 / 无需图。EN-index 切换后重点盯这一项，</t>
        </is>
      </c>
    </row>
    <row r="16" ht="15" customHeight="1" s="19">
      <c r="A16" s="22" t="inlineStr">
        <is>
          <t xml:space="preserve">   因为检索 group 变了，配图是否还挂在正确的 parent chunk 上，Gate 探针 JSON 里测不出来。</t>
        </is>
      </c>
    </row>
    <row r="17" ht="15" customHeight="1" s="19">
      <c r="A17" s="22" t="inlineStr">
        <is>
          <t>④ 整体通过——通过 / 不通过，严格线：①对 且 ②=直接可发 且 ③非(图不对/该配没配) 才判通过（小改可发不算通过）。</t>
        </is>
      </c>
    </row>
    <row r="18" ht="15" customHeight="1" s="19">
      <c r="A18" s="21" t="n"/>
    </row>
    <row r="19" ht="15" customHeight="1" s="19">
      <c r="A19" s="22" t="inlineStr">
        <is>
          <t>汇总区同时给了两组数字：</t>
        </is>
      </c>
    </row>
    <row r="20" ht="15" customHeight="1" s="19">
      <c r="A20" s="22" t="inlineStr">
        <is>
          <t xml:space="preserve">  【22封全量·参考】——留痕用，不作为对殷主管的判据。</t>
        </is>
      </c>
    </row>
    <row r="21" ht="15" customHeight="1" s="19">
      <c r="A21" s="22" t="inlineStr">
        <is>
          <t xml:space="preserve">  【19封MVP·§2.3判据】——这是真正决定「能不能发链」的数字，目标 ≥16/19（≈84.2%）。</t>
        </is>
      </c>
    </row>
    <row r="22" ht="15" customHeight="1" s="19">
      <c r="A22" s="21" t="n"/>
    </row>
    <row r="23" ht="15" customHeight="1" s="19">
      <c r="A23" s="22" t="inlineStr">
        <is>
          <t>使用步骤：</t>
        </is>
      </c>
    </row>
    <row r="24" ht="15" customHeight="1" s="19">
      <c r="A24" s="21" t="inlineStr">
        <is>
          <t>1. 用 cs_22mail_batch_runner.py 跑一遍 22 封系统输出（与 run_cs_e2e_gate 同管线），</t>
        </is>
      </c>
    </row>
    <row r="25" ht="15" customHeight="1" s="19">
      <c r="A25" s="22" t="inlineStr">
        <is>
          <t xml:space="preserve">   落盘 cs_22mail_eval_round0.json（含 top1_group、generated_reply_en、images_used、mvp19 等）。</t>
        </is>
      </c>
    </row>
    <row r="26" ht="15" customHeight="1" s="19">
      <c r="A26" s="21" t="inlineStr">
        <is>
          <t>2. 对照 round0.json 人工在「基线评分(修复前)」逐封打①②③④分，脚本不代替人工判断。</t>
        </is>
      </c>
    </row>
    <row r="27" ht="15" customHeight="1" s="19">
      <c r="A27" s="21" t="inlineStr">
        <is>
          <t>3. 「计入MVP19」列照抄 json 的 mvp19 字段（否 = TC148 · 不计入 §2.3 分母）。</t>
        </is>
      </c>
    </row>
    <row r="28" ht="15" customHeight="1" s="19">
      <c r="A28" s="21" t="inlineStr">
        <is>
          <t>4. 看 19 封判据通过率：≥16/19 → 可考虑进 Wave 2；&lt;16/19 → 按问题类型标签定位修复，</t>
        </is>
      </c>
    </row>
    <row r="29" ht="15" customHeight="1" s="19">
      <c r="A29" s="22" t="inlineStr">
        <is>
          <t xml:space="preserve">   尤其检查③是否因 EN-index 切换而回退。</t>
        </is>
      </c>
    </row>
    <row r="30" ht="15" customHeight="1" s="19">
      <c r="A30" s="21" t="inlineStr">
        <is>
          <t>5. 修复后用「复测评分(Wave1后)」sheet 跑 Round 1，对比提升。</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4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8" min="1" max="1"/>
    <col width="11" customWidth="1" style="18" min="2" max="2"/>
    <col width="12" customWidth="1" style="18" min="3" max="3"/>
    <col width="24" customWidth="1" style="18" min="4" max="4"/>
    <col width="12" customWidth="1" style="18" min="5" max="5"/>
    <col width="14" customWidth="1" style="18" min="6" max="7"/>
    <col width="12" customWidth="1" style="18" min="8" max="8"/>
    <col width="16" customWidth="1" style="18" min="9" max="9"/>
    <col width="28" customWidth="1" style="18" min="10" max="10"/>
    <col width="14" customWidth="1" style="18" min="11" max="11"/>
    <col width="16" customWidth="1" style="19" min="12" max="12"/>
  </cols>
  <sheetData>
    <row r="1" ht="21.6" customHeight="1" s="19">
      <c r="A1" s="20" t="inlineStr">
        <is>
          <t>22 封真邮四维评分 · Round 0 · EN-index 切换后基线（post-G11）</t>
        </is>
      </c>
    </row>
    <row r="2" ht="15" customHeight="1" s="19">
      <c r="A2" s="23" t="inlineStr">
        <is>
          <t>① 机型/问题命中(对/错)　② 英文回复可用度(直接可发/小改可发/需重写)　③ 图片配对(相关/图不对/该配没配/无需图)　④ 整体通过(通过/不通过，一票否决)　「计入MVP19」= 是的邮件才计入 §2.3 严格④通过率判据(排除 TC148 3 封)　「计入MVP19」= 照抄 round0.json 的 mvp19（脚本按 tc148 库自动判定，非人工猜编号）</t>
        </is>
      </c>
    </row>
    <row r="4" ht="15" customHeight="1" s="19">
      <c r="A4" s="24" t="inlineStr">
        <is>
          <t>邮件编号</t>
        </is>
      </c>
      <c r="B4" s="24" t="inlineStr">
        <is>
          <t>计入MVP19</t>
        </is>
      </c>
      <c r="C4" s="24" t="inlineStr">
        <is>
          <t>机型</t>
        </is>
      </c>
      <c r="D4" s="24" t="inlineStr">
        <is>
          <t>问题摘要</t>
        </is>
      </c>
      <c r="E4" s="24" t="inlineStr">
        <is>
          <t>①机型命中</t>
        </is>
      </c>
      <c r="F4" s="24" t="inlineStr">
        <is>
          <t>②英文可用度</t>
        </is>
      </c>
      <c r="G4" s="24" t="inlineStr">
        <is>
          <t>③图片配对</t>
        </is>
      </c>
      <c r="H4" s="24" t="inlineStr">
        <is>
          <t>④整体通过</t>
        </is>
      </c>
      <c r="I4" s="24" t="inlineStr">
        <is>
          <t>问题类型标签</t>
        </is>
      </c>
      <c r="J4" s="24" t="inlineStr">
        <is>
          <t>备注（具体哪里错）</t>
        </is>
      </c>
      <c r="K4" s="24" t="inlineStr">
        <is>
          <t>评分人/日期</t>
        </is>
      </c>
      <c r="L4" s="18" t="inlineStr">
        <is>
          <t>Reference链接</t>
        </is>
      </c>
    </row>
    <row r="5" ht="15" customHeight="1" s="19">
      <c r="A5" s="25" t="inlineStr">
        <is>
          <t>MAIL-01</t>
        </is>
      </c>
      <c r="B5" s="26" t="inlineStr">
        <is>
          <t>是</t>
        </is>
      </c>
      <c r="C5" s="27" t="inlineStr">
        <is>
          <t>AT12131S（AT 系列 · 独立用户手册 · 无 v1 排查 docx）</t>
        </is>
      </c>
      <c r="D5" s="27" t="inlineStr">
        <is>
          <t>the gate does nothing when i push the button or use the key pad remote.</t>
        </is>
      </c>
      <c r="E5" s="25" t="inlineStr">
        <is>
          <t>待人工</t>
        </is>
      </c>
      <c r="F5" s="25" t="inlineStr">
        <is>
          <t>直接可发</t>
        </is>
      </c>
      <c r="G5" s="25" t="inlineStr">
        <is>
          <t>配对相关</t>
        </is>
      </c>
      <c r="H5" s="25" t="inlineStr">
        <is>
          <t>不通过</t>
        </is>
      </c>
      <c r="I5" s="27" t="inlineStr">
        <is>
          <t>[草稿]机型?; [草稿]机型?</t>
        </is>
      </c>
      <c r="J5" s="37" t="inlineStr">
        <is>
          <t>[预检] truncated=N · steps=— · proceed_ref=N · check_step_ref=N · glued=N · type=—
cs_id=cs_0001
lib=a3s(fan_out)
top1=qa_011
top3=qa_011,qa_011,qa_011
images=image_007.png
style=F1_no_response
--- system reply ---
Dear Customer,
Thank you for contacting TOPENS. This is Lori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Please measure the voltage of the +BAT- terminals (11# and 12#) on the control board to see whether it is above 22VDC. If so, please proceed to test 2. If the voltage is below 22VDC, please check whether the output voltage of the adapter is 36VDC. If so, disconnect the batteries from the control board and measure the output voltage of the batteries to see whether it is above 22VDC. If the voltage of the batteries is also below 22VDC, please keep the batteries charged fully to try it again. If it still cannot work, please check the batteries. Kindly note that a 24V 12Ah battery (or 2pcs 12V batteries connected in series may function as 24V) is required to power the gate opener. Marine or Automotive type battery is compatible.
2. Disconnect all accessories from the control board first (just leave the power source and the arm). And disable the photocell function by turning the dip switch #3 off. Then erase all remotes codes from the control board and reprogram them to have a try. If it fails, please instantaneously short (plug the wire in, then pull it out immediately) the push button terminals (4# and 5#) to check whether the opener can work. How to instantaneously short the “O/S/C COM” terminals: https://drive.google.com/file/d/1VdDhyHZxmpQE5pG7BYHOJi5GYb7iZHFS/view?usp=sharing
3. If there is still no luck, please release the clutches on the arm and push the gate to the middle position firstly. And engage the clutches and press the remote to see whether the gate can run towards the both directions. If it still doesn’t help, please go on the troubleshooting below.
4. Please check the motor. Connect the red &amp; black wires of the arm to the DC 24V power source directly, the motor should run, and then exchange the polarity of the wires, the motor should run in the opposite direction. If the motor runs in both directions, the motor itself is good. Please connect the black &amp; red wires back to the control board and check step 5.
5. Disconnect the BLUE, GREEN &amp; YELLOW wires of the faulty arm from the control board, use two jumper wires to short the ULT, COM &amp; DLT terminals to which the wires were connected, and then press the remote to operate the gate opener to see whether it can work.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Lori
TOPENS Customer Service Team</t>
        </is>
      </c>
      <c r="K5" s="25" t="n"/>
      <c r="L5" s="39" t="inlineStr">
        <is>
          <t>打开 Reference</t>
        </is>
      </c>
    </row>
    <row r="6" ht="15" customHeight="1" s="19">
      <c r="A6" s="25" t="inlineStr">
        <is>
          <t>MAIL-02</t>
        </is>
      </c>
      <c r="B6" s="26" t="inlineStr">
        <is>
          <t>是</t>
        </is>
      </c>
      <c r="C6" s="27" t="inlineStr">
        <is>
          <t>A8132 · ET24 electric lock · UPS01</t>
        </is>
      </c>
      <c r="D6" s="27" t="inlineStr">
        <is>
          <t>gate opener worked four days now motor won't function lock still unlocks</t>
        </is>
      </c>
      <c r="E6" s="25" t="inlineStr">
        <is>
          <t>错</t>
        </is>
      </c>
      <c r="F6" s="25" t="inlineStr">
        <is>
          <t>小改可发</t>
        </is>
      </c>
      <c r="G6" s="25" t="inlineStr">
        <is>
          <t>配对相关</t>
        </is>
      </c>
      <c r="H6" s="25" t="inlineStr">
        <is>
          <t>不通过</t>
        </is>
      </c>
      <c r="I6" s="27" t="inlineStr">
        <is>
          <t>[草稿]复合; [草稿]复合</t>
        </is>
      </c>
      <c r="J6" s="37" t="inlineStr">
        <is>
          <t>[预检] truncated=N · steps=— · proceed_ref=N · check_step_ref=N · glued=N · type=—
cs_id=cs_0002
lib=a3s(keyword)
top1=qa_037
top3=qa_037,qa_037,qa_034
top1_hit=MISS
images=image_025.png, image_026.png, image_027.png
style=F3_power_motor
--- system reply ---
Dear Customer,
Thank you for contacting TOPENS. This is Joyce from TOPENS Customer Service Team. It will be a pleasure to assist you today.
I apologize for the inconvenience this has caused, but do not worry, we will do our best to help you. All TOPENS products are backed by a 12-month warranty.
Checked with our engineer, please help us do some tests to find out the problem, so that we can provide corresponding help.
If the arm is stuck in the fully extended position and the moving-rod does not retract:
1. Disengage the clutch and manually push the moving-rod to the middle position. Then, press the remote control to test for movement.
2. If the arm still does not move, re-engage the clutch and detach the arm from the gate. While pushing the moving-rod inward, rotate the front mount clockwise. If the arm begins to move, the screw nut may have disengaged from the screw rod at the far end. Once the arm is back in the middle position, use the remote control to test operation again.
3. Once the arm functions properly, use a screwdriver to loosen the screw on Limit Switch B. Slide the switch slightly inward and re-tighten the screw to prevent future over-extension.
If the opener arm is partially extended or fully retracted and the moving-rod does not move despite the motor activation:
4. Ensure that the clutch is fully and correctly engaged. If engagement appears normal, disassemble the opener arm and check whether clutch components (Part B and Part C) are properly aligned. If not, manually rotate the front mount until proper alignment is achieved.
5. Verify the connection between the screw rod and the clutch component with bearing (Part C). Also inspect the moving-rod’s screw nut for signs of damage or excessive wear.
6. If all visible components appear intact and operational, but abnormal or excessive noise is present in the motor area, the issue may lie within the motor’s reduction gearbox. In this case, please dismantle the gearbox of the motor and check the gears inside.
For additional guidance, please refer to these help articles:
https://topens.com/blogs/blog-posts/troubleshooting-guide-motor-operates-but-gate-opener-arm-fails-to-move
https://topens.com/blogs/blog-posts/how-to-retract-the-moving-rod-when-the-opener-arm-extends-too-much
Please let me know the result one by one. It would be very helpful if you could share some videos showing the control board status and the arm when you try to operate it. Also, kindly provide your shipping address with zip code and phone number in case we need to send any replacement parts.
Thank you again for being a valued customer! Your complete satisfaction is what we strive for. We at TOPENS are always standing by and ready to help.
Best regards,
Joyce
TOPENS Customer Service Team</t>
        </is>
      </c>
      <c r="K6" s="25" t="n"/>
      <c r="L6" s="39" t="inlineStr">
        <is>
          <t>打开 Reference</t>
        </is>
      </c>
    </row>
    <row r="7" ht="15" customHeight="1" s="19">
      <c r="A7" s="25" t="inlineStr">
        <is>
          <t>MAIL-03</t>
        </is>
      </c>
      <c r="B7" s="26" t="inlineStr">
        <is>
          <t>是</t>
        </is>
      </c>
      <c r="C7" s="27" t="inlineStr">
        <is>
          <t>AD8 · DPS180-U-AC-DC Power Supply</t>
        </is>
      </c>
      <c r="D7" s="27" t="inlineStr">
        <is>
          <t>Installed openers as per instructions. Programmed supplied remotes. 3 LEDs on control board responds when remote is pre…</t>
        </is>
      </c>
      <c r="E7" s="25" t="inlineStr">
        <is>
          <t>对</t>
        </is>
      </c>
      <c r="F7" s="25" t="inlineStr">
        <is>
          <t>直接可发</t>
        </is>
      </c>
      <c r="G7" s="25" t="inlineStr">
        <is>
          <t>配对相关</t>
        </is>
      </c>
      <c r="H7" s="25" t="inlineStr">
        <is>
          <t>通过</t>
        </is>
      </c>
      <c r="I7" s="27" t="inlineStr">
        <is>
          <t>[草稿]—; [草稿]—</t>
        </is>
      </c>
      <c r="J7" s="37" t="inlineStr">
        <is>
          <t>[预检] truncated=N · steps=— · proceed_ref=N · check_step_ref=N · glued=N · type=—
cs_id=cs_0003
lib=ad5s(keyword)
top1=qa_010
top3=qa_010,qa_010,qa_010
top1_hit=OK
images=image_007.png
style=F1_no_response
--- system reply ---
Dear Rick,
Thank you for contacting TOPENS. This is Lori from TOPENS Customer Service Team. It will be a pleasure to assist you today.
I apologize for the trouble this has caused, but do not worry, we will do our best to help you. All TOPENS products are backed by a 12-month warranty.
Checked with our engineer, please help us do some tests to find out the problem, so that we can provide corresponding help.
1. Please measure the voltage of the +BAT- terminals (11# and 12#) on the control board to see whether it is above 22VDC. If so, please proceed to test 2. If the voltage is below 22VDC, please check whether the output voltage of the adapter is 36VDC. If so, disconnect the batteries from the control board and measure the output voltage of the batteries to see whether it is above 22VDC. If the voltage of the batteries is also below 22VDC, please keep the batteries charged fully to try it again.
2. Disconnect all accessories from the control board first (just leave the power source and the arms). And disable the photocell function by turning the dip switch #5 off. Then erase all remote codes from the control board and reprogram them to have a try. If it fails, please instantaneously short (plug the wire in, then pull it out immediately) the push button terminals (4# and 5#) to check whether the opener can work. Here is a video for your reference: https://drive.google.com/file/d/1VdDhyHZxmpQE5pG7BYHOJi5GYb7iZHFS/view?usp=sharing
3. If there is still no luck, please release the clutches on the two arms and push the gate to the middle position firstly. Then engage the clutches and press the remote to see whether the gate can run in both directions.
4. Please check the motor. Connect the red &amp; black wires of the arm to a DC 24V power source directly, the motor should run, and then exchange the polarity of the wires, the motor should run in the opposite direction. If the motor runs in both directions, the motor itself is good. Please connect the black &amp; red wires back to the control board and check step 5.
5. Disconnect the BLUE, GREEN &amp; YELLOW wires of the faulty arm from the control board, use two jumper wires to short the ULT, COM &amp; DLT terminals to which the wires were connected, and then press the remote to see if the arm could extend and retract. If it could move in both directions, then the limit switch is defective.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Lori
TOPENS Customer Service Team</t>
        </is>
      </c>
      <c r="K7" s="25" t="n"/>
      <c r="L7" s="39" t="inlineStr">
        <is>
          <t>打开 Reference</t>
        </is>
      </c>
    </row>
    <row r="8" ht="15" customHeight="1" s="19">
      <c r="A8" s="25" t="inlineStr">
        <is>
          <t>MAIL-04</t>
        </is>
      </c>
      <c r="B8" s="26" t="inlineStr">
        <is>
          <t>是</t>
        </is>
      </c>
      <c r="C8" s="27" t="inlineStr">
        <is>
          <t>PW302 Dual Swing · A8131（客服推荐）· UPS01</t>
        </is>
      </c>
      <c r="D8" s="27" t="inlineStr">
        <is>
          <t>Hello I'm Matt, I have two seperate gates. Was going to buy a double gate and need another PS and controller. Gates is …</t>
        </is>
      </c>
      <c r="E8" s="25" t="inlineStr">
        <is>
          <t>对</t>
        </is>
      </c>
      <c r="F8" s="25" t="inlineStr">
        <is>
          <t>直接可发</t>
        </is>
      </c>
      <c r="G8" s="25" t="inlineStr">
        <is>
          <t>无需图</t>
        </is>
      </c>
      <c r="H8" s="25" t="inlineStr">
        <is>
          <t>通过</t>
        </is>
      </c>
      <c r="I8" s="27" t="inlineStr">
        <is>
          <t>[草稿]—; [草稿]—</t>
        </is>
      </c>
      <c r="J8" s="37" t="inlineStr">
        <is>
          <t>[预检] truncated=N · steps=— · proceed_ref=N · check_step_ref=N · glued=N · type=—
cs_id=cs_0004
lib=ad5s(fan_out)
top1=qa_015
top3=qa_015,qa_015,qa_009
images=(无)
style=F5_dual_swing
--- system reply ---
Dear Matt,
Thank you for contacting TOPENS. This is Joyce from TOPENS Customer Service Team. It will be a pleasure to assist you today.
For your setup with two separate gates, each around 100 lbs and 16 ft, the TOPENS PW302 Dual Swing Gate Opener is a solid choice. You would need an additional power supply and control board for the second gate to operate them independently. With two separate control boards, you can program each remote to open either gate—each remote can be programmed to both boards, giving you the flexibility to control both gates from a single remote.
Here are the purchase links for the additional components you would need:
PW302 Dual Swing Gate Opener:
https://www.topens.com/products/electric-gate-opener-dual-swing-pw302
Additional Power Supply &amp; Control Board (replacement parts):
https://www.topens.com/products/replacement-control-board-and-power-supply-for-pw302
User Manual and Installation Video can be found on the product page for reference during setup.
All TOPENS products are backed by a 12-month warranty.
Thank you again for being a valued customer! Your complete satisfaction is what we strive for. We at TOPENS are always standing by and ready to help.
Best regards,
Joyce
TOPENS Customer Service Team</t>
        </is>
      </c>
      <c r="K8" s="25" t="n"/>
      <c r="L8" s="39" t="inlineStr">
        <is>
          <t>打开 Reference</t>
        </is>
      </c>
    </row>
    <row r="9" ht="15" customHeight="1" s="19">
      <c r="A9" s="25" t="inlineStr">
        <is>
          <t>MAIL-05</t>
        </is>
      </c>
      <c r="B9" s="26" t="inlineStr">
        <is>
          <t>是</t>
        </is>
      </c>
      <c r="C9" s="27" t="inlineStr">
        <is>
          <t>AT12132S（表单选型）· JY9132（客服推荐）· 纯太阳能</t>
        </is>
      </c>
      <c r="D9" s="27" t="inlineStr">
        <is>
          <t>Hello there I have yet to buy a gate from you guys. I was actually wondering why I should buy a gate opener from you ve…</t>
        </is>
      </c>
      <c r="E9" s="25" t="inlineStr">
        <is>
          <t>对</t>
        </is>
      </c>
      <c r="F9" s="25" t="inlineStr">
        <is>
          <t>直接可发</t>
        </is>
      </c>
      <c r="G9" s="25" t="inlineStr">
        <is>
          <t>配对相关</t>
        </is>
      </c>
      <c r="H9" s="25" t="inlineStr">
        <is>
          <t>通过</t>
        </is>
      </c>
      <c r="I9" s="27" t="inlineStr">
        <is>
          <t>[草稿]—; [草稿]—</t>
        </is>
      </c>
      <c r="J9" s="37" t="inlineStr">
        <is>
          <t>[预检] truncated=N · steps=— · proceed_ref=N · check_step_ref=N · glued=N · type=—
cs_id=cs_0005
lib=ad5s(fan_out)
top1=qa_007
top3=qa_007,qa_010,qa_010
images=image_007.png
style=F5_dual_swing
--- system reply ---
Dear Customer,
Thank you for contacting TOPENS. This is Joyce from TOPENS Customer Service Team. It will be a pleasure to assist you today.
I appreciate your interest in our products and understand you're weighing your options carefully. All TOPENS products are backed by a 12-month warranty. For a 34-foot dual swing solar gate, here are a few key points I would like to share:
1. TOPENS offers robust dual swing solar kits designed for heavy gates, with reliable 24V DC motors and solid control board diagnostics that make troubleshooting straightforward. Our solar systems use a TCS3 charge controller to manage power efficiently.
2. Rather than asking you to take my word for it, I'd recommend checking out this warranty policy and blog comparing gate opener brands:
   https://topens.com/pages/warranty-policy  
   https://topens.com/blogs/news/ghost-controls-vs-topens-gate-opener
3. For your opening size and preference for solar, the TOPENS AD8S dual swing solar kit would be a suitable recommendation. You can view it here: https://topens.com/products/ad8s
If you have any specific technical questions or need help clarifying the installation requirements for your gate, please don't hesitate to ask. We want to make sure you get the right system.
Thank you again for considering TOPENS! Your complete satisfaction is what we strive for. We at TOPENS are always standing by and ready to help.
Best regards,
Joyce
TOPENS Customer Service Team</t>
        </is>
      </c>
      <c r="K9" s="25" t="n"/>
      <c r="L9" s="39" t="inlineStr">
        <is>
          <t>打开 Reference</t>
        </is>
      </c>
    </row>
    <row r="10" ht="15" customHeight="1" s="19">
      <c r="A10" s="25" t="inlineStr">
        <is>
          <t>MAIL-06</t>
        </is>
      </c>
      <c r="B10" s="26" t="inlineStr">
        <is>
          <t>是</t>
        </is>
      </c>
      <c r="C10" s="27" t="inlineStr">
        <is>
          <t>A8131 · AT12131</t>
        </is>
      </c>
      <c r="D10" s="27" t="inlineStr">
        <is>
          <t>What is the difference between models A8131 and AT12131? Thank You</t>
        </is>
      </c>
      <c r="E10" s="25" t="inlineStr">
        <is>
          <t>待人工</t>
        </is>
      </c>
      <c r="F10" s="25" t="inlineStr">
        <is>
          <t>小改可发</t>
        </is>
      </c>
      <c r="G10" s="25" t="inlineStr">
        <is>
          <t>配对相关</t>
        </is>
      </c>
      <c r="H10" s="25" t="inlineStr">
        <is>
          <t>不通过</t>
        </is>
      </c>
      <c r="I10" s="27" t="inlineStr">
        <is>
          <t>[草稿]复合; [草稿]复合</t>
        </is>
      </c>
      <c r="J10" s="37" t="inlineStr">
        <is>
          <t>[预检] truncated=N · steps=— · proceed_ref=N · check_step_ref=N · glued=N · type=—
cs_id=cs_0006
lib=a3s(keyword)
top1=qa_011
top3=qa_011,qa_011,qa_011
images=image_007.png
style=F1_no_response
--- system reply ---
Dear Customer,
Thank you for contacting TOPENS. This is Lori from TOPENS Customer Service Team. It will be a pleasure to assist you today.
The main difference between models A8131 and AT12131 is the power type and the arm's maximum thrust. The A8131 is typically an AC-powered model that plugs into a standard household outlet, while the AT12131 is a DC-powered model designed to run on a 24V battery/solar power system. Additionally, the AT12131 usually features updated control board electronics and may support a higher gate weight or longer leaf length compared to the A8131. For full technical specifications, I recommend reviewing the product pages or manuals for each model.
If you are trying to decide between them, it really depends on your power source availability and the weight/size of your gate. Feel free to let me know more details about your setup and I can help point you in the right direction.
Best regards,
Lori
TOPENS Customer Service Team</t>
        </is>
      </c>
      <c r="K10" s="25" t="n"/>
      <c r="L10" s="39" t="inlineStr">
        <is>
          <t>打开 Reference</t>
        </is>
      </c>
    </row>
    <row r="11" ht="15" customHeight="1" s="19">
      <c r="A11" s="25" t="inlineStr">
        <is>
          <t>MAIL-07</t>
        </is>
      </c>
      <c r="B11" s="26" t="inlineStr">
        <is>
          <t>是</t>
        </is>
      </c>
      <c r="C11" s="27" t="inlineStr">
        <is>
          <t>AT1202 · AT602 · A8132 · KD702 · M12 · TC196 · TC175 · TC148 · ERM12</t>
        </is>
      </c>
      <c r="D11" s="27" t="inlineStr">
        <is>
          <t>Good Afternoon, I am looking to purchase 2 sets of dual swing opener kits from Amazon as I am In the UK. Could you plea…</t>
        </is>
      </c>
      <c r="E11" s="25" t="inlineStr">
        <is>
          <t>待人工</t>
        </is>
      </c>
      <c r="F11" s="25" t="inlineStr">
        <is>
          <t>小改可发</t>
        </is>
      </c>
      <c r="G11" s="25" t="inlineStr">
        <is>
          <t>配对相关</t>
        </is>
      </c>
      <c r="H11" s="25" t="inlineStr">
        <is>
          <t>不通过</t>
        </is>
      </c>
      <c r="I11" s="27" t="inlineStr">
        <is>
          <t>[草稿]复合; [草稿]复合</t>
        </is>
      </c>
      <c r="J11" s="37" t="inlineStr">
        <is>
          <t>[预检] truncated=N · steps=— · proceed_ref=N · check_step_ref=N · glued=N · type=—
cs_id=cs_0007
lib=a3s(keyword)
top1=qa_020
top3=qa_020,qa_034,qa_024
images=image_016.png, image_021.png
style=F2_tc148_wired
--- system reply ---
Dear Nick,
Thank you for contacting TOPENS. This is Joyce from TOPENS Customer Service Team. It will be a pleasure to assist you today.
Thank you for your interest in our gate openers! I am happy to help you choose the right models for your setup. Here is a breakdown of the key differences between the models you asked about.
The main differences come down to motor power, gate capacity, and holding force:
- **AT1202 / AT602:** These are both 24V DC ram-style arm actuators. The AT1202 is our heavy-duty model designed for gates up to 300 kg (660 lbs) per leaf. The AT602 is a medium-duty model for gates up to 250 kg (550 lbs) per leaf. Both offer excellent holding force for long, heavy gates.
- **A8132:** This is an electro-mechanical actuator, also 24V DC, for gates up to 300 kg (660 lbs) per leaf. It has a more industrial design and is incredibly robust, but the installation is slightly different from the AT series.
- **KD902 / KD702:** These are the best sellers. The KD902 is our heavy-duty articulated arm kit for gates up to 300 kg (660 lbs) per leaf. The KD702 is a medium-duty model for gates up to 250 kg (550 lbs) per leaf. The key benefit of the KD series is the soft start and soft stop functionality, making operation very smooth and quiet. For your described gate weight of 20-30 kg, any of these models is more than powerful enough.
Given that your gates are quite light (20-30 kg), the **KD702** would be an excellent choice. It will operate very smoothly and quietly, and the dual kit comes with everything you need including two arms, a control box, and all necessary accessories.
Regarding your control questions:
Each gate will have its own opener arm, and both arms connect to a single dual control box. The M12 remote controls included in the kit can be programmed to open either one gate, or both gates simultaneously. With your TC148 switches and TC175P touch panels, you can wire each to open either a single gate for private access, or both gates for shared access, depending on your wiring configuration. The TC196 WiFi remote works the same way—it replaces a remote control and can be programmed in the app to trigger the full dual-gate cycle.
Here is a link to the KD702 on Amazon UK for your reference: https://www.amazon.co.uk/dp/B07CLQVXDP
If you have any other questions before placing your order, please don't hesitate to ask.
Best regards,
Joyce
TOPENS Customer Service Team</t>
        </is>
      </c>
      <c r="K11" s="25" t="n"/>
      <c r="L11" s="39" t="inlineStr">
        <is>
          <t>打开 Reference</t>
        </is>
      </c>
    </row>
    <row r="12" ht="15" customHeight="1" s="19">
      <c r="A12" s="28" t="inlineStr">
        <is>
          <t>MAIL-08</t>
        </is>
      </c>
      <c r="B12" s="29" t="inlineStr">
        <is>
          <t>否</t>
        </is>
      </c>
      <c r="C12" s="30" t="inlineStr">
        <is>
          <t>PW502 · TC148 · M12</t>
        </is>
      </c>
      <c r="D12" s="30" t="inlineStr">
        <is>
          <t>Push button not working, therefore we jumpered out #4&amp;5 at the main control panel and still nothing happened. Other tha…</t>
        </is>
      </c>
      <c r="E12" s="28" t="inlineStr">
        <is>
          <t>对</t>
        </is>
      </c>
      <c r="F12" s="28" t="inlineStr">
        <is>
          <t>小改可发</t>
        </is>
      </c>
      <c r="G12" s="28" t="inlineStr">
        <is>
          <t>配对相关</t>
        </is>
      </c>
      <c r="H12" s="28" t="inlineStr">
        <is>
          <t>不通过</t>
        </is>
      </c>
      <c r="I12" s="30" t="inlineStr">
        <is>
          <t>[草稿]生成; [草稿]生成</t>
        </is>
      </c>
      <c r="J12" s="38" t="inlineStr">
        <is>
          <t>[预检] truncated=N · steps=— · proceed_ref=N · check_step_ref=N · glued=N · type=—
cs_id=cs_0008
lib=tc148(keyword)
top1=qa_001
top3=qa_001,qa_002
top1_hit=OK
images=image_001.png
style=F2_tc148_wired
--- system reply ---
Dear Customer,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Disconnect the extension cable connecting the TC148 wall switch to the control board, and replace it with a short cable for testing. Please let me know if the gate opener works normally with the short cable. If it does, could you confirm the distance and wire gauge between the TC148 and the control board?
2. Disconnect all wired accessories from the control board except the power supply and arm motor. Then, please momentarily short the push button terminals (4# and 5#) with an instant touch only—plug in and pull out instantly. Do not leave a jumper wire connected continuously, as the control board is designed to respond to a momentary contact. I know you've already tried jumpering these terminals, but could you please try this specific procedure again with a quick touch? You can also refer to this short video for guidance: https://drive.google.com/file/d/1VdDhyHZxmpQE5pG7BYHOJi5GYb7iZHFS/view?usp=sharing
3. Please confirm whether the wall switch is a genuine TOPENS TC148. Third-party switches may be incompatible with the control board.
For best results with wired accessories over longer distances, we recommend using well-shielded cable, such as 2C×22 AWG minimum, and keeping the run under 15 meters when possible. This article may also be helpful: https://topens.com/blogs/blog-posts/how-to-connect-multiple-accessories-to-a-shared-terminal-on-a-topens-gate-opener-control-board
Looking forward to the result after you finish the troubleshooting. Please let me know the outcome one by one.
If possible, a clear photo or video of your control board wiring would also be very helpful for further diagnosis. And please reply with your specific SHIPPING ADDRESS including zip code and confirm your PHONE number available for further assistance.
Thank you again for being a valued customer! Your complete satisfaction is what we strive for. We at TOPENS are always standing by and ready to help.
Best regards,
Joyce
TOPENS Customer Service Team</t>
        </is>
      </c>
      <c r="K12" s="28" t="n"/>
      <c r="L12" s="39" t="inlineStr">
        <is>
          <t>打开 Reference</t>
        </is>
      </c>
    </row>
    <row r="13" ht="15" customHeight="1" s="19">
      <c r="A13" s="28" t="inlineStr">
        <is>
          <t>MAIL-09</t>
        </is>
      </c>
      <c r="B13" s="29" t="inlineStr">
        <is>
          <t>否</t>
        </is>
      </c>
      <c r="C13" s="30" t="inlineStr">
        <is>
          <t>AT6131 · ET24 · TC148 · UPS01</t>
        </is>
      </c>
      <c r="D13" s="30" t="inlineStr">
        <is>
          <t>Hi Joyce, I have set up a retractive switch (same as TC148 with COM and L1 connections) and it is connected as per the …</t>
        </is>
      </c>
      <c r="E13" s="28" t="inlineStr">
        <is>
          <t>错</t>
        </is>
      </c>
      <c r="F13" s="28" t="inlineStr">
        <is>
          <t>小改可发</t>
        </is>
      </c>
      <c r="G13" s="28" t="inlineStr">
        <is>
          <t>配对相关</t>
        </is>
      </c>
      <c r="H13" s="28" t="inlineStr">
        <is>
          <t>不通过</t>
        </is>
      </c>
      <c r="I13" s="30" t="inlineStr">
        <is>
          <t>[草稿]复合; [草稿]复合</t>
        </is>
      </c>
      <c r="J13" s="38" t="inlineStr">
        <is>
          <t>[预检] truncated=N · steps=— · proceed_ref=N · check_step_ref=N · glued=N · type=—
cs_id=cs_0009
lib=ad5s(fan_out)
top1=qa_031
top3=qa_031,qa_019,qa_019
top1_hit=MISS
images=image_016.png, image_017.png, image_018.jpg
style=F2_tc148_wired
--- system reply ---
Dear Customer,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First, please disconnect all wired accessories from the control board (just leave the power source and the arm). Disable the photocell function by turning DIP switch #5 off, and ensure that the jumper wire connected between the EDGE and GND (terminal #7 &amp; #8) is securely fastened. Then observe if the gate will run randomly without the switch connected. I know you've already tested with a jumper wire between #4 and #5 and it worked normally, so the control board itself is likely fine.
2. With the switch still disconnected, please use a piece of wire to make an instant short between terminal #4 and #5 on the control board—that means plug the wire in and pull it out immediately, do not leave it connected as a continuous jumper. This simulates a proper retractive/dry-contact pulse. Then observe whether the gate runs a normal single cycle or starts cycling erratically.
3. If the instant-short test works normally, the issue is with the switch or its wiring. Your switch must provide a true dry contact momentary closure (COM and L1). Please check with a multimeter set to continuity: with the switch at rest, there should be no continuity between COM and L1. When you press and hold the switch, continuity should close; when you release, it should immediately break again. If the switch maintains continuity or chatters, it will cause the cycling you're seeing. Also please check whether the shielded armored cable has any stray strand or moisture bridging the cores, which could create a permanent or intermittent connection.
4. If the instant-short test also causes erratic cycling, please reprogram the remote controls: remove all existing remote codes from the control board, then reprogram the remotes. Operate the gate again to see if the random opening issue is resolved.
Please let me know the result one by one. Since your video is too large, you can share it via Dropbox, iCloud, or Google Drive link, and please also send clear photos of the control board wiring and your switch connections.
Lastly, kindly reply with your specific SHIPPING ADDRESS with zip code and confirm your PHONE # for further assistance if needed.
Thank you again for being a valued customer! Your complete satisfaction is what we strive for. We at TOPENS are always standing by and ready to help.
Best regards,
Joyce
TOPENS Customer Service Team</t>
        </is>
      </c>
      <c r="K13" s="28" t="n"/>
      <c r="L13" s="39" t="inlineStr">
        <is>
          <t>打开 Reference</t>
        </is>
      </c>
    </row>
    <row r="14" ht="15" customHeight="1" s="19">
      <c r="A14" s="28" t="inlineStr">
        <is>
          <t>MAIL-10</t>
        </is>
      </c>
      <c r="B14" s="29" t="inlineStr">
        <is>
          <t>否</t>
        </is>
      </c>
      <c r="C14" s="30" t="inlineStr">
        <is>
          <t>A8131 · TC148</t>
        </is>
      </c>
      <c r="D14" s="30" t="inlineStr">
        <is>
          <t>Hi Lori, I have now purchased the Topens wired push button TC148. I have connected it to O.S.B(4) &amp; COM(5). I am gettin…</t>
        </is>
      </c>
      <c r="E14" s="28" t="inlineStr">
        <is>
          <t>对</t>
        </is>
      </c>
      <c r="F14" s="28" t="inlineStr">
        <is>
          <t>小改可发</t>
        </is>
      </c>
      <c r="G14" s="28" t="inlineStr">
        <is>
          <t>配对相关</t>
        </is>
      </c>
      <c r="H14" s="28" t="inlineStr">
        <is>
          <t>不通过</t>
        </is>
      </c>
      <c r="I14" s="30" t="inlineStr">
        <is>
          <t>[草稿]生成; [草稿]生成</t>
        </is>
      </c>
      <c r="J14" s="38" t="inlineStr">
        <is>
          <t>[预检] truncated=N · steps=— · proceed_ref=N · check_step_ref=N · glued=N · type=—
cs_id=cs_0010
lib=tc148(keyword)
top1=qa_002
top3=qa_002,qa_001
top1_hit=OK
images=image_001.png
style=F2_tc148_wired
--- system reply ---
Dear Ian,
Thank you for contacting TOPENS. This is Lori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Disconnect the extension cable connecting the TC148 to the control board and replace it with a short cable to test whether the gate opener works. If it works with the short cable, please confirm the distance between the TC148 and the control board.
2. Disconnect all wired accessories from the control board except the power supply and arm. Momentarily short (instant touch only — plug in then pull out) the push button terminals (4# and 5#) to see if the opener responds. Please refer to this video: https://drive.google.com/file/d/1VdDhyHZxmpQE5pG7BYHOJi5GYb7iZHFS/view?usp=sharing
3. Please also confirm that the wall switch is a genuine TOPENS TC148, as third-party switches may be incompatible.
Looking forward to the result after you finish the troubleshooting. Please let me know the result one by one.
And also please reply with your specific SHIPPING ADDRESS with zip code and confirm your PHONE # available for further assistance.
Thank you again for being a valued customer! Your complete satisfaction is what we strive for. We at TOPENS are always standing by and ready to help.
Best regards,
Lori
TOPENS Customer Service Team</t>
        </is>
      </c>
      <c r="K14" s="28" t="n"/>
      <c r="L14" s="39" t="inlineStr">
        <is>
          <t>打开 Reference</t>
        </is>
      </c>
    </row>
    <row r="15" ht="15" customHeight="1" s="19">
      <c r="A15" s="25" t="inlineStr">
        <is>
          <t>MAIL-11</t>
        </is>
      </c>
      <c r="B15" s="26" t="inlineStr">
        <is>
          <t>是</t>
        </is>
      </c>
      <c r="C15" s="27" t="inlineStr">
        <is>
          <t>A8132 · PW802 · AD8 · AT1202 · TC188 · TC173 · ERM12</t>
        </is>
      </c>
      <c r="D15" s="27" t="inlineStr">
        <is>
          <t>what is the difference between A8132 PW802 AD8 AT1202</t>
        </is>
      </c>
      <c r="E15" s="25" t="inlineStr">
        <is>
          <t>待人工</t>
        </is>
      </c>
      <c r="F15" s="25" t="inlineStr">
        <is>
          <t>小改可发</t>
        </is>
      </c>
      <c r="G15" s="25" t="inlineStr">
        <is>
          <t>无需图</t>
        </is>
      </c>
      <c r="H15" s="25" t="inlineStr">
        <is>
          <t>不通过</t>
        </is>
      </c>
      <c r="I15" s="27" t="inlineStr">
        <is>
          <t>[草稿]复合; [草稿]复合</t>
        </is>
      </c>
      <c r="J15" s="37" t="inlineStr">
        <is>
          <t>[预检] truncated=N · steps=— · proceed_ref=N · check_step_ref=N · glued=N · type=—
cs_id=cs_0011
lib=a3s(keyword)
top1=qa_042
top3=qa_042,qa_042,qa_042
images=(无)
style=F1_no_response
--- system reply ---
Dear Customer,
Thank you for contacting TOPENS. This is Lori from TOPENS Customer Service Team. It will be a pleasure to assist you today.
I'd be happy to help clarify the differences between the A8132, PW802, AD8, and AT1202 models. Unfortunately, the specific comparative specifications for these four models are not covered in the product knowledge materials I have available at this moment. My reference materials primarily focus on installation geometry (A, B, X, Y measurements) and general limit switch and power guidance, rather than detailed feature comparisons across these specific model numbers.
To ensure you get the most accurate and detailed answer, may I suggest visiting the official TOPENS website or the product pages on our Amazon store? There you can find the full specifications, feature lists, and comparison details for each model.
If you have a specific installation scenario in mind—such as your gate's weight, length, or whether it's a pull-to-open or push-to-open setup—please feel free to share those details. I can then help guide you toward the model that would best suit your needs based on general application knowledge.
Thank you again for contacting TOPENS! Your complete satisfaction is what we strive for. We at TOPENS are always standing by and ready to help.
Best regards,
Lori
TOPENS Customer Service Team</t>
        </is>
      </c>
      <c r="K15" s="25" t="n"/>
      <c r="L15" s="39" t="inlineStr">
        <is>
          <t>打开 Reference</t>
        </is>
      </c>
    </row>
    <row r="16" ht="15" customHeight="1" s="19">
      <c r="A16" s="25" t="inlineStr">
        <is>
          <t>MAIL-12</t>
        </is>
      </c>
      <c r="B16" s="26" t="inlineStr">
        <is>
          <t>是</t>
        </is>
      </c>
      <c r="C16" s="27" t="inlineStr">
        <is>
          <t>AT12131 · TC102（客服提及已发货）</t>
        </is>
      </c>
      <c r="D16" s="27" t="inlineStr">
        <is>
          <t>Hi My contractor installed the opener and although the gate opens, it does not stop at the desired location, it moves t…</t>
        </is>
      </c>
      <c r="E16" s="25" t="inlineStr">
        <is>
          <t>错</t>
        </is>
      </c>
      <c r="F16" s="25" t="inlineStr">
        <is>
          <t>小改可发</t>
        </is>
      </c>
      <c r="G16" s="25" t="inlineStr">
        <is>
          <t>配对相关</t>
        </is>
      </c>
      <c r="H16" s="25" t="inlineStr">
        <is>
          <t>不通过</t>
        </is>
      </c>
      <c r="I16" s="27" t="inlineStr">
        <is>
          <t>[草稿]复合; [草稿]复合</t>
        </is>
      </c>
      <c r="J16" s="37" t="inlineStr">
        <is>
          <t>[预检] truncated=N · steps=— · proceed_ref=N · check_step_ref=N · glued=N · type=—
cs_id=cs_0012
lib=a3s(keyword)
top1=qa_019
top3=qa_019,qa_019,qa_019
top1_hit=MISS
images=image_015.png
style=F1_no_response
--- system reply ---
Dear Customer,
Thank you for contacting TOPENS. This is Joyce from TOPENS Customer Service Team. It will be a pleasure to assist you today.
I apologize for the trouble with the gate stopping position, but do not worry, we will do our best to help you.
All TOPENS products are backed by a 12-month warranty. Checked with our engineer, please help us do some tests to find out the problem, so that we can provide corresponding help.
1. Ensure that the wires of the limit switch (BLUE, GREEN, and YELLOW wires of the arm) are not shorted. Confirm that each wire is properly inserted into its corresponding terminal and is not twisted with any other wire.
2. Please readjust the Open Position. The open position is adjusted by Limit Switch B (located far from the motor). Adjust Limit Switch B inward on the arm, then press the remote to open the gate and see if the open position changes. Repeat the operation several times to check if the arm consistently stops at the new position.
3. If it changes, adjust Limit Switch B to the desired open position and tighten the screw.
4. If the problem persists, rotate the Front Mount 180° and test again.
5. If there is still no luck, the limit switch might be defective.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Joyce
TOPENS Customer Service Team</t>
        </is>
      </c>
      <c r="K16" s="25" t="n"/>
      <c r="L16" s="39" t="inlineStr">
        <is>
          <t>打开 Reference</t>
        </is>
      </c>
    </row>
    <row r="17" ht="15" customHeight="1" s="19">
      <c r="A17" s="25" t="inlineStr">
        <is>
          <t>MAIL-13</t>
        </is>
      </c>
      <c r="B17" s="26" t="inlineStr">
        <is>
          <t>是</t>
        </is>
      </c>
      <c r="C17" s="27" t="inlineStr">
        <is>
          <t>A3S · M12</t>
        </is>
      </c>
      <c r="D17" s="27" t="inlineStr">
        <is>
          <t>Need help this gate opener keeps stopping before opening fully</t>
        </is>
      </c>
      <c r="E17" s="25" t="inlineStr">
        <is>
          <t>对</t>
        </is>
      </c>
      <c r="F17" s="25" t="inlineStr">
        <is>
          <t>小改可发</t>
        </is>
      </c>
      <c r="G17" s="25" t="inlineStr">
        <is>
          <t>无需图</t>
        </is>
      </c>
      <c r="H17" s="25" t="inlineStr">
        <is>
          <t>不通过</t>
        </is>
      </c>
      <c r="I17" s="27" t="inlineStr">
        <is>
          <t>[草稿]生成; [草稿]生成</t>
        </is>
      </c>
      <c r="J17" s="37" t="inlineStr">
        <is>
          <t>[预检] truncated=N · steps=— · proceed_ref=N · check_step_ref=N · glued=N · type=—
cs_id=cs_0013
lib=a3s(keyword)
top1=qa_022
top3=qa_022,qa_022,qa_022
top1_hit=OK
images=(无)
style=F4_limit_travel
--- system reply ---
Dear Customer,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Please detect the voltage of the +BAT- terminals (11# and 12#) on the control board while pressing the remote to see whether the voltage stays at almost 24V (above 22V). If the voltage drops too much, the problem may be with the power source. If the voltage is fine, please proceed to the following tests.
2. Please power off the system first (disconnect the power source from the +BAT- terminals). Turn the FORCE potentiometer all the way clockwise to increase the stall force, and turn the SOFT STOP potentiometer all the way counter-clockwise to decrease the soft stop period. Then turn on the power and operate the gate opener through a complete opening and closing cycle. See whether the gate opens and closes all the way on the next cycle.
3. If the problem still persists, push against the gate (in the opposite direction of its movement) while the gate is opening. Continuously add some load and see whether the gate can open all the way properly.
4. If the tests above do not help, please remove the arm from the gate and hold its front mount firmly, then press the remote to see whether the arm can extend and retract properly each time. If the arm runs normally in this test, the arm itself is fine — please let me know the weight and length of your gate, and whether the gate can be opened and closed freely about 3.3 feet (one meter) from the gate hinge.
Please let me know the result of every step. Videos showing the problem and pictures of the whole control board are appreciated for further judgement. If needed, you can share files via Dropbox, iCloud, or Google Drive. Also, kindly provide your shipping address with zip code and phone number in case a replacement part is needed later.
Thank you again for being a valued customer! Your complete satisfaction is what we strive for. We at TOPENS are always standing by and ready to help.
Best regards,
Joyce
TOPENS Customer Service Team</t>
        </is>
      </c>
      <c r="K17" s="25" t="n"/>
      <c r="L17" s="39" t="inlineStr">
        <is>
          <t>打开 Reference</t>
        </is>
      </c>
    </row>
    <row r="18" ht="15" customHeight="1" s="19">
      <c r="A18" s="25" t="inlineStr">
        <is>
          <t>MAIL-14</t>
        </is>
      </c>
      <c r="B18" s="26" t="inlineStr">
        <is>
          <t>是</t>
        </is>
      </c>
      <c r="C18" s="27" t="inlineStr">
        <is>
          <t>AT602（dual swing）</t>
        </is>
      </c>
      <c r="D18" s="27" t="inlineStr">
        <is>
          <t>Hi, I bought this gate and since I've bought it I've had issues with constantly having to reset the limits for the gate…</t>
        </is>
      </c>
      <c r="E18" s="25" t="inlineStr">
        <is>
          <t>待人工</t>
        </is>
      </c>
      <c r="F18" s="25" t="inlineStr">
        <is>
          <t>小改可发</t>
        </is>
      </c>
      <c r="G18" s="25" t="inlineStr">
        <is>
          <t>配对相关</t>
        </is>
      </c>
      <c r="H18" s="25" t="inlineStr">
        <is>
          <t>不通过</t>
        </is>
      </c>
      <c r="I18" s="27" t="inlineStr">
        <is>
          <t>[草稿]复合; [草稿]复合</t>
        </is>
      </c>
      <c r="J18" s="37" t="inlineStr">
        <is>
          <t>[预检] truncated=N · steps=— · proceed_ref=N · check_step_ref=N · glued=N · type=—
cs_id=cs_0014
lib=a3s(fan_out)
top1=qa_019
top3=qa_019,qa_021,qa_020
images=image_015.png, image_017.png, image_018.png, image_019.png, image_016.png
style=F4_limit_travel
--- system reply ---
Dear Customer,
Thank you for contacting TOPENS. This is Joyce from TOPENS Customer Service Team. It will be a pleasure to assist you today.
I apologize for the ongoing trouble with the limit settings. I understand how frustrating it is when the gate keeps over-traveling, but do not worry, we will do our best to help you. All TOPENS products are backed by a 12-month warranty.
Checked with our engineer, please help us do some tests to find out the problem, so that we can provide corresponding help.
1. Ensure that the wires of the limit switch (BLUE, GREEN, and YELLOW wires of the arm) are not shorted. Confirm that each wire is properly inserted into its corresponding terminal and is not twisted with any other wire.
2. Please readjust the Open Position. The open position is adjusted by Limit Switch B (located far from the motor). Adjust Limit Switch B inward on the arm, then press the remote to open the gate and see if the open position changes. Repeat the operation several times to check if the arm consistently stops at the new position.
3. If it changes, adjust Limit Switch B to the desired open position and tighten the screw. If the problem persists, rotate the Front Mount 180° and test again.
4. If there is still no luck, the limit switch might be defective.
Please let me know the result of every step. Videos showing the problem and pictures of the whole control board are appreciated for further judgement. You can directly send the video to my E-mail via the attachment. If the sending is not successful, please share the photo or video link through dropbox, icloud or google drive. Thanks for your understanding and cooperation.
Thank you again for being a valued customer! Your complete satisfaction is what we strive for. We at TOPENS are always standing by and ready to help.
Best regards,
Joyce
TOPENS Customer Service Team</t>
        </is>
      </c>
      <c r="K18" s="25" t="n"/>
      <c r="L18" s="39" t="inlineStr">
        <is>
          <t>打开 Reference</t>
        </is>
      </c>
    </row>
    <row r="19" ht="15" customHeight="1" s="19">
      <c r="A19" s="25" t="inlineStr">
        <is>
          <t>MAIL-15</t>
        </is>
      </c>
      <c r="B19" s="26" t="inlineStr">
        <is>
          <t>是</t>
        </is>
      </c>
      <c r="C19" s="27" t="inlineStr">
        <is>
          <t>AD8S（dual swing）</t>
        </is>
      </c>
      <c r="D19" s="27" t="inlineStr">
        <is>
          <t>CC:Dan Hi Zack— First of all, hugely helpful. Once we powered down first before moving the pot, we were able to get a g…</t>
        </is>
      </c>
      <c r="E19" s="25" t="inlineStr">
        <is>
          <t>对</t>
        </is>
      </c>
      <c r="F19" s="25" t="inlineStr">
        <is>
          <t>小改可发</t>
        </is>
      </c>
      <c r="G19" s="25" t="inlineStr">
        <is>
          <t>无需图</t>
        </is>
      </c>
      <c r="H19" s="25" t="inlineStr">
        <is>
          <t>不通过</t>
        </is>
      </c>
      <c r="I19" s="27" t="inlineStr">
        <is>
          <t>[草稿]生成; [草稿]生成</t>
        </is>
      </c>
      <c r="J19" s="37" t="inlineStr">
        <is>
          <t>[预检] truncated=N · steps=— · proceed_ref=N · check_step_ref=N · glued=N · type=—
cs_id=cs_0015
lib=ad5s(keyword)
top1=qa_040
top3=qa_040,qa_040,qa_040
top1_hit=OK
images=(无)
style=F6_auto_close_rebound
--- system reply ---
Dear Tim,
Thank you for contacting TOPENS. This is Joyce from TOPENS Customer Service Team. It will be a pleasure to assist you today.
I'm glad the delay adjustment solved the previous issue—great work dialing that in. I'm sorry about the intermittent reversing on close now, and I understand how that can be frustrating. All TOPENS products are backed by a 12-month warranty, so we will do our best to help you get this sorted.
Checked with our engineer, please help us do some tests to find out the problem, so that we can provide corresponding help.
1. Please double check all the brackets and hardware of the arm (including the screw of the limit switch) are secured since looseness of the brackets or limit switch may also cause this issue.
2. Power off the system, turn the FORCE potentiometer clockwise to increase the stall force to max. Then turn on the power and operate the gate opener to run for a complete opening and closing cycle. See whether the gate will open and close normally in the next opening and closing cycle.
3. If the issue is still unresolved, please use the release key to disengage the clutches of both arms, and check whether the gate itself can be manually opened and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kindly let us know the results of each step one by one so that we can better determine the problem. A video showing the reversing behavior would be greatly appreciated. If the sending is not successful, please share the photo or video link through Dropbox, iCloud, or Google Drive.
Waiting for your further feedback.
Thank you once again for being a valued customer! Your complete satisfaction is what we strive for. We at TOPENS are always standing by and ready to help.
Best regards,
Joyce
TOPENS Customer Service Team</t>
        </is>
      </c>
      <c r="K19" s="25" t="n"/>
      <c r="L19" s="39" t="inlineStr">
        <is>
          <t>打开 Reference</t>
        </is>
      </c>
    </row>
    <row r="20" ht="15" customHeight="1" s="19">
      <c r="A20" s="25" t="inlineStr">
        <is>
          <t>MAIL-16</t>
        </is>
      </c>
      <c r="B20" s="26" t="inlineStr">
        <is>
          <t>是</t>
        </is>
      </c>
      <c r="C20" s="27" t="inlineStr">
        <is>
          <t>PW802（dual swing · DPS180-U）</t>
        </is>
      </c>
      <c r="D20" s="27" t="inlineStr">
        <is>
          <t>I installed, everything worked, now a red lightis flashlight and it won't work. Please call me ASAP. Allen ***-***-****…</t>
        </is>
      </c>
      <c r="E20" s="25" t="inlineStr">
        <is>
          <t>对</t>
        </is>
      </c>
      <c r="F20" s="25" t="inlineStr">
        <is>
          <t>小改可发</t>
        </is>
      </c>
      <c r="G20" s="25" t="inlineStr">
        <is>
          <t>配对相关</t>
        </is>
      </c>
      <c r="H20" s="25" t="inlineStr">
        <is>
          <t>不通过</t>
        </is>
      </c>
      <c r="I20" s="27" t="inlineStr">
        <is>
          <t>[草稿]生成; [草稿]生成</t>
        </is>
      </c>
      <c r="J20" s="37" t="inlineStr">
        <is>
          <t>[预检] truncated=N · steps=— · proceed_ref=N · check_step_ref=N · glued=N · type=—
cs_id=cs_0016
lib=ad5s(keyword)
top1=qa_001
top3=qa_001,qa_013,qa_001
top1_hit=OK
images=image_001.png
style=F2_tc148_wired
--- system reply ---
Dear Allen,
Thank you for contacting TOPENS. This is Joyce from TOPENS Customer Service Team. It will be a pleasure to assist you today.
I apologize for the trouble with the flashing red light and the gate not working, but do not worry, we will do our best to help you. All TOPENS products are backed by a 12-month warranty.
Checked with our engineer, please help us do some tests to find out the problem, so that we can provide corresponding help.
1. Check all the wires to make sure they are connected securely as they should be. Then, please use a multimeter to measure the voltage at the +BAT- terminals (11# and 12#) on the control board to see whether it is above 22V.
2. If the voltage is normal (above 22V), check whether the power LED on the control board is ON (blinks twice per second). If it is off, please check the fuse to see if it is burnt out and replace it if necessary. There is a backup fuse packed within the user manual pack. The fuse type is ∅5*20mm 10A 250VAC fast blow glass fuse.
3. If the voltage is below 22V, please check whether the output voltage of the adapter is 36VDC. If so, disconnect the batteries from the control board and measure the output voltage of the batteries to see whether it is above DC 22V. If the battery voltage is also below 22V, please charge the batteries fully and try again.
4. If it still cannot work after the batteries are fully charged, please check the batteries themselves. Kindly note that a 24V 12Ah battery (or 2pcs 12V batteries connected in series to function as 24V) is required to power the gate opener. Marine or Automotive type batteries are compatible.
Please let me know the results of these steps one by one. A short video or photos showing the control board and its wiring would also be very helpful for further diagnosis.
Additionally, please reply with your specific shipping address including the zip code and confirm your phone number so we are ready to provide further assistance.
Thank you again for being a valued customer! Your complete satisfaction is what we strive for. We at TOPENS are always standing by and ready to help.
Best regards,
Joyce
TOPENS Customer Service Team</t>
        </is>
      </c>
      <c r="K20" s="25" t="n"/>
      <c r="L20" s="39" t="inlineStr">
        <is>
          <t>打开 Reference</t>
        </is>
      </c>
    </row>
    <row r="21" ht="15" customHeight="1" s="19">
      <c r="A21" s="25" t="inlineStr">
        <is>
          <t>MAIL-17</t>
        </is>
      </c>
      <c r="B21" s="26" t="inlineStr">
        <is>
          <t>是</t>
        </is>
      </c>
      <c r="C21" s="27" t="inlineStr">
        <is>
          <t>A5131 · UPS01 · M12</t>
        </is>
      </c>
      <c r="D21" s="27" t="inlineStr">
        <is>
          <t>Good evening: Our gate arm has messed up again. We have done all the previous troubleshooting and it does the exact thi…</t>
        </is>
      </c>
      <c r="E21" s="25" t="inlineStr">
        <is>
          <t>对</t>
        </is>
      </c>
      <c r="F21" s="25" t="inlineStr">
        <is>
          <t>小改可发</t>
        </is>
      </c>
      <c r="G21" s="25" t="inlineStr">
        <is>
          <t>配对相关</t>
        </is>
      </c>
      <c r="H21" s="25" t="inlineStr">
        <is>
          <t>不通过</t>
        </is>
      </c>
      <c r="I21" s="27" t="inlineStr">
        <is>
          <t>[草稿]生成; [草稿]生成</t>
        </is>
      </c>
      <c r="J21" s="37" t="inlineStr">
        <is>
          <t>[预检] truncated=N · steps=— · proceed_ref=N · check_step_ref=N · glued=N · type=—
cs_id=cs_0017
lib=a3s(keyword)
top1=qa_033
top3=qa_033,qa_033,qa_033
top1_hit=OK
images=image_019.png
style=F8_warranty_rma
--- system reply ---
Dear Customer,
Thank you for contacting TOPENS. This is Heidi from TOPENS Customer Service Team. It will be a pleasure to assist you today.
I am so sorry to hear the gate arm has messed up again. I fully understand how frustrating this must be for you and your husband. Please do not worry, we will do our best to help you. All TOPENS products are backed by a 12-month warranty, so your purchase from June 2025 is still covered.
Checked with our engineer, please help us do some tests to find out the problem, so that we can provide corresponding help. I know you have done some troubleshooting before, but let's follow these steps precisely to pinpoint the issue this time.
1. Please release the clutch and push the gate to the middle position firstly. And then try it again by pressing the remote to see whether the gate can run towards both directions. If the problem still persists, please do the following tests.
2. Disconnect all wired accessories from the control board first (just leave the power source and the arm) and disable the photocell function by turning off DIP Switch 3#. Then press the remote again to see whether it can work properly. If the problem disappears, reconnect each accessory one by one to identify which one causes the problem. If a photocell sensor is used, please double check the installation of the photocell, and make sure the photocell sensor beam is aligned and not blocked.
3. Please check the motor. Connect the red &amp; black wires of the arm to a DC 24V power source directly, the motor should run, and then exchange the polarity of the wires, the motor should run in the opposite direction. If the motor runs in both directions, the motor itself is good. Please connect the black &amp; red wires back to the control board and check step 4.
4. Disconnect the BLUE, GREEN &amp; YELLOW wires of the faulty arm from the control board, use two jumper wires to short the ULMT, COM &amp; DLMT terminals to which the wires were connected, and then press the remote to see if the arm could extend and retract. If it could move in both directions, then the limit switch is defective. When you do this test, you could press the remote in time in case the arm extends too much.
Please record a video of the control board while performing these tests and let me know the result one by one. If the attachments are too large, you can use Dropbox, iCloud, or Google Drive to share them. Also, could you please confirm your shipping address with zip code and phone number? This will help us proceed smoothly if a replacement is needed.
Look forward to hearing from you.
Thank you again for being a valued customer! Your complete satisfaction is what we strive for. We at TOPENS are always standing by and ready to help.
Best regards,
Heidi
TOPENS Customer Service Team</t>
        </is>
      </c>
      <c r="K21" s="25" t="n"/>
      <c r="L21" s="39" t="inlineStr">
        <is>
          <t>打开 Reference</t>
        </is>
      </c>
    </row>
    <row r="22" ht="15" customHeight="1" s="19">
      <c r="A22" s="25" t="inlineStr">
        <is>
          <t>MAIL-18</t>
        </is>
      </c>
      <c r="B22" s="26" t="inlineStr">
        <is>
          <t>是</t>
        </is>
      </c>
      <c r="C22" s="27" t="inlineStr">
        <is>
          <t>A5 / A8（表单写作 A5/A8）</t>
        </is>
      </c>
      <c r="D22" s="27" t="inlineStr">
        <is>
          <t>I have batteries and AC adapter installed. I'm not getting anything to work. Please call me</t>
        </is>
      </c>
      <c r="E22" s="25" t="inlineStr">
        <is>
          <t>对</t>
        </is>
      </c>
      <c r="F22" s="25" t="inlineStr">
        <is>
          <t>小改可发</t>
        </is>
      </c>
      <c r="G22" s="25" t="inlineStr">
        <is>
          <t>配对相关</t>
        </is>
      </c>
      <c r="H22" s="25" t="inlineStr">
        <is>
          <t>不通过</t>
        </is>
      </c>
      <c r="I22" s="27" t="inlineStr">
        <is>
          <t>[草稿]生成; [草稿]生成</t>
        </is>
      </c>
      <c r="J22" s="37" t="inlineStr">
        <is>
          <t>[预检] truncated=N · steps=— · proceed_ref=N · check_step_ref=N · glued=N · type=—
cs_id=cs_0018
lib=a3s(keyword)
top1=qa_001
top3=qa_001,qa_014,qa_001
top1_hit=OK
images=image_001.png
style=F2_tc148_wired
--- system reply ---
Dear Customer,
Thank you for contacting TOPENS. This is Joyce from TOPENS Customer Service Team. It will be a pleasure to assist you today.
I apologize for the inconvenience of having no power to your system, but do not worry, we will do our best to help you. All TOPENS products are backed by a 12-month warranty.
Checked with our engineer, please help us do some tests to find out the problem, so that we can provide corresponding help.
1. Please check all the wires are connected as they should be. Then, measure the voltage of the +BAT- terminals (11# and 12#) on the control board to see whether it is above 22V.
2. If the voltage is normal, please check whether the power LED on the control board is ON (blinks twice per second). If it is off, check the fuse to see if it was burnt out and replace the fuse if necessary. There is a backup fuse packed within the user manual pack. The fuse type is ∅5*20mm 5A 250VAC fast blow glass fuse.
3. If the voltage is below 22V, please check whether the output voltage of the adapter is 36VDC. If so, disconnect the batteries from the control board and measure the output voltage of the batteries to see whether it is above DC 22V. If the voltage of the batteries is also below 22V, please keep the batteries charged fully to try it again.
Kindly note that two 12VDC batteries connected in series (or one 24V battery) are required to power the gate opener. The included AC adapter is only intended for charging the batteries, not for directly powering the gate opener.
Please let me know the result one by one. If possible, please send a clear photo or video of your control board wiring showing the terminals, which will help us confirm the connections.
Also, please reply with your specific SHIPPING ADDRESS with zip code and confirm your PHONE number available for further assistance.
Thank you again for being a valued customer! Your complete satisfaction is what we strive for. We at TOPENS are always standing by and ready to help.
Best regards,
Joyce
TOPENS Customer Service Team</t>
        </is>
      </c>
      <c r="K22" s="25" t="n"/>
      <c r="L22" s="39" t="inlineStr">
        <is>
          <t>打开 Reference</t>
        </is>
      </c>
    </row>
    <row r="23" ht="15" customHeight="1" s="19">
      <c r="A23" s="25" t="inlineStr">
        <is>
          <t>MAIL-19</t>
        </is>
      </c>
      <c r="B23" s="26" t="inlineStr">
        <is>
          <t>是</t>
        </is>
      </c>
      <c r="C23" s="27" t="inlineStr">
        <is>
          <t>AD5S dual solar · ground sensor · M12 remote</t>
        </is>
      </c>
      <c r="D23" s="27" t="inlineStr">
        <is>
          <t>Gate is opening at first open hard turned down force to almost nothing . Open to far gets binded. Sometimes doesn't clo…</t>
        </is>
      </c>
      <c r="E23" s="25" t="inlineStr">
        <is>
          <t>错</t>
        </is>
      </c>
      <c r="F23" s="25" t="inlineStr">
        <is>
          <t>小改可发</t>
        </is>
      </c>
      <c r="G23" s="25" t="inlineStr">
        <is>
          <t>无需图</t>
        </is>
      </c>
      <c r="H23" s="25" t="inlineStr">
        <is>
          <t>不通过</t>
        </is>
      </c>
      <c r="I23" s="27" t="inlineStr">
        <is>
          <t>[草稿]复合; [草稿]复合</t>
        </is>
      </c>
      <c r="J23" s="37" t="inlineStr">
        <is>
          <t>[预检] truncated=N · steps=— · proceed_ref=N · check_step_ref=N · glued=N · type=—
cs_id=cs_0019
lib=ad5s(keyword)
top1=qa_015
top3=qa_015,qa_015,qa_040
top1_hit=MISS
images=(无)
style=F1_no_response
--- system reply ---
Dear Customer,
Thank you for contacting TOPENS. This is Lori from TOPENS Customer Service Team. It will be a pleasure to assist you today.
I'm sorry to hear about the trouble you're experiencing with the gate binding and the remote not programming properly. That sounds frustrating, but do not worry, we will do our best to help you. All TOPENS products are backed by a 12-month warranty for your peace of mind.
Checked with our engineer, please help us do some tests to find out the problem, so that we can provide corresponding help.
1. Please release the clutch and push the gate to the middle position firstly. And then try it again by pressing the remote to see whether the gate can run towards both directions. If the problem still persists, please do the following tests.
2. Disconnect all wired accessories from the control board first (just leave the power source and the arm) and disable the photocell function by turning the dip switch #5 off. And ensure that the jumper wire connected between the EDGE and GND (terminal #7 &amp; #8) must be securely fastened. Then press the remote again to see whether it can work properly. If the problem disappears, reconnect each accessory one by one to identify which one causes the problem. If the problem persists, please replace the control board to have a try.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Lori
TOPENS Customer Service Team</t>
        </is>
      </c>
      <c r="K23" s="25" t="n"/>
      <c r="L23" s="39" t="inlineStr">
        <is>
          <t>打开 Reference</t>
        </is>
      </c>
    </row>
    <row r="24" ht="15" customHeight="1" s="19">
      <c r="A24" s="25" t="inlineStr">
        <is>
          <t>MAIL-20</t>
        </is>
      </c>
      <c r="B24" s="26" t="inlineStr">
        <is>
          <t>是</t>
        </is>
      </c>
      <c r="C24" s="27" t="inlineStr">
        <is>
          <t>AT1202（表单写作 A1202）· dual swing</t>
        </is>
      </c>
      <c r="D24" s="27" t="inlineStr">
        <is>
          <t>Hi! I installed my two AT 1202 gate-opener successfully but the gate does not stay closed. Right after closing it opens…</t>
        </is>
      </c>
      <c r="E24" s="25" t="inlineStr">
        <is>
          <t>待人工</t>
        </is>
      </c>
      <c r="F24" s="25" t="inlineStr">
        <is>
          <t>小改可发</t>
        </is>
      </c>
      <c r="G24" s="25" t="inlineStr">
        <is>
          <t>无需图</t>
        </is>
      </c>
      <c r="H24" s="25" t="inlineStr">
        <is>
          <t>不通过</t>
        </is>
      </c>
      <c r="I24" s="27" t="inlineStr">
        <is>
          <t>[草稿]复合; [草稿]复合</t>
        </is>
      </c>
      <c r="J24" s="37" t="inlineStr">
        <is>
          <t>[预检] truncated=N · steps=— · proceed_ref=N · check_step_ref=N · glued=N · type=—
cs_id=cs_0020
lib=ad5s(fan_out)
top1=qa_040
top3=qa_040,qa_040,qa_040
images=(无)
style=F5_dual_swing
--- system reply ---
Dear Rainer,
Thank you for contacting TOPENS. This is Joyce from TOPENS Customer Service Team. It will be a pleasure to assist you today.
I apologize for the trouble with the gate reopening right after closing and the slave arm not opening fully. We will do our best to help you. All TOPENS products are backed by a 12-month warranty.
Checked with our engineer, please help us do some tests to find out the problem, so that we can provide corresponding help.
1. Please double check all the brackets and hardware of the arm (including the screw of the limit switch) are secured since the looseness of the brackets or limit switch may also cause this issue.
2. Power off the system, turn the FORCE potentiometer clockwise to increase the stall force to max. Then turn on the power and operate the gate opener to run for a complete opening &amp; closing cycle. See whether the gate will open and close normally in the next opening and closing cycle.
3. If the issue is still unresolved, please use the release key to disengage the clutches of both arms, and check whether the gate itself can be manually opened &amp;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Thank you again for being a valued customer! Your complete satisfaction is what we strive for. We at TOPENS are always standing by and ready to help.
Best regards,
Joyce
TOPENS Customer Service Team</t>
        </is>
      </c>
      <c r="K24" s="25" t="n"/>
      <c r="L24" s="39" t="inlineStr">
        <is>
          <t>打开 Reference</t>
        </is>
      </c>
    </row>
    <row r="25" ht="15" customHeight="1" s="19">
      <c r="A25" s="25" t="inlineStr">
        <is>
          <t>MAIL-21</t>
        </is>
      </c>
      <c r="B25" s="26" t="inlineStr">
        <is>
          <t>是</t>
        </is>
      </c>
      <c r="C25" s="27" t="inlineStr">
        <is>
          <t>A8132 dual swing · TC188 keypad</t>
        </is>
      </c>
      <c r="D25" s="27" t="inlineStr">
        <is>
          <t>The motherboard has power receives signal from fob , lights blink , a click noise , but the arms won't open or close. C…</t>
        </is>
      </c>
      <c r="E25" s="25" t="inlineStr">
        <is>
          <t>错</t>
        </is>
      </c>
      <c r="F25" s="25" t="inlineStr">
        <is>
          <t>小改可发</t>
        </is>
      </c>
      <c r="G25" s="25" t="inlineStr">
        <is>
          <t>配对相关</t>
        </is>
      </c>
      <c r="H25" s="25" t="inlineStr">
        <is>
          <t>不通过</t>
        </is>
      </c>
      <c r="I25" s="27" t="inlineStr">
        <is>
          <t>[草稿]复合; [草稿]复合</t>
        </is>
      </c>
      <c r="J25" s="37" t="inlineStr">
        <is>
          <t>[预检] truncated=N · steps=— · proceed_ref=N · check_step_ref=N · glued=N · type=—
cs_id=cs_0021
lib=a3s(keyword)
top1=qa_033
top3=qa_033,qa_033,qa_033
top1_hit=MISS
images=image_019.png
style=F1_no_response
--- system reply ---
Dear Customer,
Thank you for contacting TOPENS. This is Lori from TOPENS Customer Service Team. It will be a pleasure to assist you today.
I'm sorry to hear about the issue with your gate opener not sending power to the arms. I understand that can be frustrating, but do not worry, we will do our best to help you. All TOPENS products are backed by a 12-month warranty, so we will get this sorted out.
Checked with our engineer, please help us do some tests to find out the problem, so that we can provide corresponding help.
1. Please release the clutch and push the gate to the middle position firstly. And then try it again by pressing the remote to see whether the gate can run towards both directions. If the problem still persists, please do the following tests.
2. Disconnect all wired accessories from the control board first (just leave the power source and the arm) and disable the photocell function by turning off DIP Switch 3#. Then press the remote again to see whether it can work properly. If the problem persists, please do step 3. If the problem disappears, reconnect each accessory one by one to identify which one causes the problem.
3. Please check the motor. Connect the red &amp; black wires of the arm to a DC 24V power source directly, the motor should run, and then exchange the polarity of the wires, the motor should run in the opposite direction. If the motor runs in both directions, the motor itself is good. Please connect the black &amp; red wires back to the control board and check step 4.
4. Disconnect the BLUE, GREEN &amp; YELLOW wires of the faulty arm from the control board, use two jumper wires to short the ULT, COM &amp; DLT terminals to which the wires were connected, and then press the remote to see if the arm could extend and retract. If it could move in both directions, then the limit switch is defective. When you do this test, please press the remote in time in case the arm extends too much.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with your specific SHIPPING ADDRESS with zip code and confirm your PHONE # available for further assistance.
Thank you again for being a valued customer! Your complete satisfaction is what we strive for. We at TOPENS are always standing by and ready to help.
Best regards,
Lori
TOPENS Customer Service Team</t>
        </is>
      </c>
      <c r="K25" s="25" t="n"/>
      <c r="L25" s="39" t="inlineStr">
        <is>
          <t>打开 Reference</t>
        </is>
      </c>
    </row>
    <row r="26" ht="15" customHeight="1" s="19">
      <c r="A26" s="25" t="inlineStr">
        <is>
          <t>MAIL-22</t>
        </is>
      </c>
      <c r="B26" s="26" t="inlineStr">
        <is>
          <t>是</t>
        </is>
      </c>
      <c r="C26" s="27" t="inlineStr">
        <is>
          <t>A5132（dual swing）</t>
        </is>
      </c>
      <c r="D26" s="27" t="inlineStr">
        <is>
          <t>Just recently my gate started acting differently. The left panel - furthest from the controller - seems to open and rea…</t>
        </is>
      </c>
      <c r="E26" s="25" t="inlineStr">
        <is>
          <t>待人工</t>
        </is>
      </c>
      <c r="F26" s="25" t="inlineStr">
        <is>
          <t>小改可发</t>
        </is>
      </c>
      <c r="G26" s="25" t="inlineStr">
        <is>
          <t>无需图</t>
        </is>
      </c>
      <c r="H26" s="25" t="inlineStr">
        <is>
          <t>不通过</t>
        </is>
      </c>
      <c r="I26" s="27" t="inlineStr">
        <is>
          <t>[草稿]复合; [草稿]复合</t>
        </is>
      </c>
      <c r="J26" s="37" t="inlineStr">
        <is>
          <t>[预检] truncated=N · steps=— · proceed_ref=N · check_step_ref=N · glued=N · type=—
cs_id=cs_0022
lib=ad5s(keyword)
top1=qa_040
top3=qa_040,qa_040,qa_040
images=(无)
style=F1_no_response
--- system reply ---
Dear Customer,
Thank you for contacting TOPENS. This is Heidi from TOPENS Customer Service Team. It will be a pleasure to assist you today.
I apologize for the trouble with your gate’s operation recently. All TOPENS products are backed by a 12-month warranty, so do not worry, we will do our best to help you.
Regarding your question, yes, a pull-to-open setup does affect the geometry, but the diagnostic steps remain the same because we need to isolate whether the issue is mechanical or with the arm itself.
Checked with our engineer, please help us do some tests to find out the problem, so that we can provide corresponding help.
1. Please double check all the brackets and hardware of the arm (including the screw of the limit switch) are secured since the looseness of the brackets or limit switch may also cause this issue.
2. Power off the system, turn the FORCE potentiometer clockwise to increase the stall force to max. Then turn on the power and operate the gate opener to run for a complete opening &amp; closing cycle. See whether the gate will open and close normally in the next opening and closing cycle.
3. If the issue is still unresolved, please use the release key to disengage the clutches of both arms, and check whether the gate itself can be manually opened &amp;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with your specific SHIPPING ADDRESS with zip code and confirm PHONE # available for further assistance.
Thank you again for being a valued customer! Your complete satisfaction is what we strive for. We at TOPENS are always standing by and ready to help.
Best regards,
Heidi
TOPENS Customer Service Team</t>
        </is>
      </c>
      <c r="K26" s="25" t="n"/>
      <c r="L26" s="39" t="inlineStr">
        <is>
          <t>打开 Reference</t>
        </is>
      </c>
    </row>
    <row r="28" ht="15" customHeight="1" s="19">
      <c r="A28" s="31" t="inlineStr">
        <is>
          <t>汇总</t>
        </is>
      </c>
    </row>
    <row r="29" ht="15" customHeight="1" s="19">
      <c r="A29" s="32" t="inlineStr">
        <is>
          <t>【22封全量·参考】通过数</t>
        </is>
      </c>
      <c r="B29" s="33" t="n"/>
      <c r="C29" s="33" t="n"/>
      <c r="D29" s="33" t="n"/>
      <c r="E29" s="33" t="n"/>
      <c r="F29" s="33" t="n"/>
      <c r="G29" s="34">
        <f>COUNTIF(H5:H26,"通过")</f>
        <v/>
      </c>
    </row>
    <row r="30" ht="15" customHeight="1" s="19">
      <c r="A30" s="32" t="inlineStr">
        <is>
          <t>【22封全量·参考】通过率</t>
        </is>
      </c>
      <c r="B30" s="33" t="n"/>
      <c r="C30" s="33" t="n"/>
      <c r="D30" s="33" t="n"/>
      <c r="E30" s="33" t="n"/>
      <c r="F30" s="33" t="n"/>
      <c r="G30" s="35">
        <f>IFERROR(COUNTIF(H5:H26,"通过")/(COUNTIF(H5:H26,"通过")+COUNTIF(H5:H26,"不通过")),"")</f>
        <v/>
      </c>
    </row>
    <row r="32" ht="15" customHeight="1" s="19">
      <c r="A32" s="36" t="inlineStr">
        <is>
          <t>【19封MVP·§2.3判据】计入邮件数</t>
        </is>
      </c>
      <c r="B32" s="33" t="n"/>
      <c r="C32" s="33" t="n"/>
      <c r="D32" s="33" t="n"/>
      <c r="E32" s="33" t="n"/>
      <c r="F32" s="33" t="n"/>
      <c r="G32" s="34">
        <f>COUNTIF(B5:B26,"是")</f>
        <v/>
      </c>
    </row>
    <row r="33" ht="15" customHeight="1" s="19">
      <c r="A33" s="36" t="inlineStr">
        <is>
          <t>【19封MVP·§2.3判据】通过数</t>
        </is>
      </c>
      <c r="B33" s="33" t="n"/>
      <c r="C33" s="33" t="n"/>
      <c r="D33" s="33" t="n"/>
      <c r="E33" s="33" t="n"/>
      <c r="F33" s="33" t="n"/>
      <c r="G33" s="34">
        <f>SUMPRODUCT((B5:B26="是")*(H5:H26="通过"))</f>
        <v/>
      </c>
    </row>
    <row r="34" ht="15" customHeight="1" s="19">
      <c r="A34" s="36" t="inlineStr">
        <is>
          <t>【19封MVP·§2.3判据】不通过数</t>
        </is>
      </c>
      <c r="B34" s="33" t="n"/>
      <c r="C34" s="33" t="n"/>
      <c r="D34" s="33" t="n"/>
      <c r="E34" s="33" t="n"/>
      <c r="F34" s="33" t="n"/>
      <c r="G34" s="34">
        <f>SUMPRODUCT((B5:B26="是")*(H5:H26="不通过"))</f>
        <v/>
      </c>
    </row>
    <row r="35" ht="15" customHeight="1" s="19">
      <c r="A35" s="36" t="inlineStr">
        <is>
          <t>【19封MVP·§2.3判据】严格④通过率（目标≥16/19≈84.2%）</t>
        </is>
      </c>
      <c r="B35" s="33" t="n"/>
      <c r="C35" s="33" t="n"/>
      <c r="D35" s="33" t="n"/>
      <c r="E35" s="33" t="n"/>
      <c r="F35" s="33" t="n"/>
      <c r="G35" s="35">
        <f>IFERROR(SUMPRODUCT((B5:B26="是")*(H5:H26="通过"))/(SUMPRODUCT((B5:B26="是")*(H5:H26="通过"))+SUMPRODUCT((B5:B26="是")*(H5:H26="不通过"))),"")</f>
        <v/>
      </c>
    </row>
    <row r="37" ht="15" customHeight="1" s="19">
      <c r="A37" s="32" t="inlineStr">
        <is>
          <t>① 机型命中率（19封内）</t>
        </is>
      </c>
      <c r="B37" s="33" t="n"/>
      <c r="C37" s="33" t="n"/>
      <c r="D37" s="33" t="n"/>
      <c r="E37" s="33" t="n"/>
      <c r="F37" s="33" t="n"/>
      <c r="G37" s="35">
        <f>IFERROR(SUMPRODUCT((B5:B26="是")*(E5:E26="对"))/(SUMPRODUCT((B5:B26="是")*(E5:E26="对"))+SUMPRODUCT((B5:B26="是")*(E5:E26="错"))),"")</f>
        <v/>
      </c>
    </row>
    <row r="38" ht="15" customHeight="1" s="19">
      <c r="A38" s="32" t="inlineStr">
        <is>
          <t>② 直接可发比例（19封内）</t>
        </is>
      </c>
      <c r="B38" s="33" t="n"/>
      <c r="C38" s="33" t="n"/>
      <c r="D38" s="33" t="n"/>
      <c r="E38" s="33" t="n"/>
      <c r="F38" s="33" t="n"/>
      <c r="G38" s="35">
        <f>IFERROR(SUMPRODUCT((B5:B26="是")*(F5:F26="直接可发"))/SUMPRODUCT((B5:B26="是")*(F5:F26&lt;&gt;"")),"")</f>
        <v/>
      </c>
    </row>
    <row r="39" ht="15" customHeight="1" s="19">
      <c r="A39" s="32" t="inlineStr">
        <is>
          <t>③ 图片配对相关比例（19封内，剔除无需图）</t>
        </is>
      </c>
      <c r="B39" s="33" t="n"/>
      <c r="C39" s="33" t="n"/>
      <c r="D39" s="33" t="n"/>
      <c r="E39" s="33" t="n"/>
      <c r="F39" s="33" t="n"/>
      <c r="G39" s="35">
        <f>IFERROR(SUMPRODUCT((B5:B26="是")*(G5:G26="配对相关"))/(SUMPRODUCT((B5:B26="是")*(G5:G26&lt;&gt;""))-SUMPRODUCT((B5:B26="是")*(G5:G26="无需图"))),"")</f>
        <v/>
      </c>
    </row>
    <row r="41" ht="15" customHeight="1" s="19">
      <c r="A41" s="23" t="inlineStr">
        <is>
          <t>判据来源：cs_client_requirement_standard.md §2.3/§5.5 —— 19 封 MVP（排除 TC148 3 封）严格④通过率 ≥16/19 才算发链达标；22 封全量数字仅供参考对照，不作为对殷主管的判据。</t>
        </is>
      </c>
    </row>
    <row r="42" ht="15" customHeight="1" s="19">
      <c r="A42" s="23" t="inlineStr">
        <is>
          <t>提示：「计入MVP19」列请照抄 cs_22mail_eval_round0.json 的 mvp19 字段；③ 打分对照 json 的 images_used / generated_reply_en。</t>
        </is>
      </c>
    </row>
  </sheetData>
  <mergeCells count="14">
    <mergeCell ref="A38:F38"/>
    <mergeCell ref="A28:C28"/>
    <mergeCell ref="A33:F33"/>
    <mergeCell ref="A37:F37"/>
    <mergeCell ref="A32:F32"/>
    <mergeCell ref="A41:K41"/>
    <mergeCell ref="A2:K2"/>
    <mergeCell ref="A34:F34"/>
    <mergeCell ref="A35:F35"/>
    <mergeCell ref="A42:K42"/>
    <mergeCell ref="A30:F30"/>
    <mergeCell ref="A39:F39"/>
    <mergeCell ref="A1:K1"/>
    <mergeCell ref="A29:F29"/>
  </mergeCells>
  <conditionalFormatting sqref="H5:H26">
    <cfRule type="cellIs" rank="0" priority="2" equalAverage="0" operator="equal" aboveAverage="0" dxfId="0" text="" percent="0" bottom="0">
      <formula>"通过"</formula>
    </cfRule>
    <cfRule type="cellIs" rank="0" priority="3" equalAverage="0" operator="equal" aboveAverage="0" dxfId="1" text="" percent="0" bottom="0">
      <formula>"不通过"</formula>
    </cfRule>
  </conditionalFormatting>
  <dataValidations count="7">
    <dataValidation sqref="B5:B26" showDropDown="0" showInputMessage="0" showErrorMessage="0" allowBlank="1" type="list" errorStyle="stop" operator="between">
      <formula1>"是,否"</formula1>
      <formula2>0</formula2>
    </dataValidation>
    <dataValidation sqref="C5:C26" showDropDown="0" showInputMessage="0" showErrorMessage="0" allowBlank="1" type="list" errorStyle="stop" operator="between">
      <formula1>"A3S,A5S,A8S,AD5S,AD8S,TC148,其他"</formula1>
      <formula2>0</formula2>
    </dataValidation>
    <dataValidation sqref="E5:E26" showDropDown="0" showInputMessage="0" showErrorMessage="0" allowBlank="1" type="list" errorStyle="stop" operator="between">
      <formula1>"对,错"</formula1>
      <formula2>0</formula2>
    </dataValidation>
    <dataValidation sqref="F5:F26" showDropDown="0" showInputMessage="0" showErrorMessage="0" allowBlank="1" type="list" errorStyle="stop" operator="between">
      <formula1>"直接可发,小改可发,需重写"</formula1>
      <formula2>0</formula2>
    </dataValidation>
    <dataValidation sqref="G5:G26" showDropDown="0" showInputMessage="0" showErrorMessage="0" allowBlank="1" type="list" errorStyle="stop" operator="between">
      <formula1>"配对相关,图不对,该配没配,无需图"</formula1>
      <formula2>0</formula2>
    </dataValidation>
    <dataValidation sqref="H5:H26" showDropDown="0" showInputMessage="0" showErrorMessage="0" allowBlank="1" type="list" errorStyle="stop" operator="between">
      <formula1>"通过,不通过"</formula1>
      <formula2>0</formula2>
    </dataValidation>
    <dataValidation sqref="I5:I26" showDropDown="0" showInputMessage="0" showErrorMessage="0" allowBlank="1" type="list" errorStyle="stop" operator="between">
      <formula1>"检索问题,生成问题,图片问题,机型判断问题,其他"</formula1>
      <formula2>0</formula2>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L42"/>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8" min="1" max="1"/>
    <col width="11" customWidth="1" style="18" min="2" max="2"/>
    <col width="12" customWidth="1" style="18" min="3" max="3"/>
    <col width="24" customWidth="1" style="18" min="4" max="4"/>
    <col width="12" customWidth="1" style="18" min="5" max="5"/>
    <col width="14" customWidth="1" style="18" min="6" max="7"/>
    <col width="12" customWidth="1" style="18" min="8" max="8"/>
    <col width="16" customWidth="1" style="18" min="9" max="9"/>
    <col width="28" customWidth="1" style="18" min="10" max="10"/>
    <col width="14" customWidth="1" style="18" min="11" max="11"/>
    <col width="16" customWidth="1" style="19" min="12" max="12"/>
  </cols>
  <sheetData>
    <row r="1" ht="21.6" customHeight="1" s="19">
      <c r="A1" s="20" t="inlineStr">
        <is>
          <t>22 封真邮四维评分 · Round 1 · 修复后复测</t>
        </is>
      </c>
    </row>
    <row r="2" ht="15" customHeight="1" s="19">
      <c r="A2" s="23" t="inlineStr">
        <is>
          <t>① 机型/问题命中(对/错)　② 英文回复可用度(直接可发/小改可发/需重写)　③ 图片配对(相关/图不对/该配没配/无需图)　④ 整体通过(通过/不通过，一票否决)　「计入MVP19」= 是的邮件才计入 §2.3 严格④通过率判据(排除 TC148 3 封)　「计入MVP19」= 照抄 round0.json 的 mvp19（脚本按 tc148 库自动判定，非人工猜编号）</t>
        </is>
      </c>
    </row>
    <row r="4" ht="15" customHeight="1" s="19">
      <c r="A4" s="24" t="inlineStr">
        <is>
          <t>邮件编号</t>
        </is>
      </c>
      <c r="B4" s="24" t="inlineStr">
        <is>
          <t>计入MVP19</t>
        </is>
      </c>
      <c r="C4" s="24" t="inlineStr">
        <is>
          <t>机型</t>
        </is>
      </c>
      <c r="D4" s="24" t="inlineStr">
        <is>
          <t>问题摘要</t>
        </is>
      </c>
      <c r="E4" s="24" t="inlineStr">
        <is>
          <t>①机型命中</t>
        </is>
      </c>
      <c r="F4" s="24" t="inlineStr">
        <is>
          <t>②英文可用度</t>
        </is>
      </c>
      <c r="G4" s="24" t="inlineStr">
        <is>
          <t>③图片配对</t>
        </is>
      </c>
      <c r="H4" s="24" t="inlineStr">
        <is>
          <t>④整体通过</t>
        </is>
      </c>
      <c r="I4" s="24" t="inlineStr">
        <is>
          <t>问题类型标签</t>
        </is>
      </c>
      <c r="J4" s="24" t="inlineStr">
        <is>
          <t>备注（具体哪里错）</t>
        </is>
      </c>
      <c r="K4" s="24" t="inlineStr">
        <is>
          <t>评分人/日期</t>
        </is>
      </c>
      <c r="L4" s="18" t="inlineStr">
        <is>
          <t>Reference链接</t>
        </is>
      </c>
    </row>
    <row r="5" ht="15" customHeight="1" s="19">
      <c r="A5" s="25" t="inlineStr">
        <is>
          <t>MAIL-01</t>
        </is>
      </c>
      <c r="B5" s="26" t="inlineStr">
        <is>
          <t>是</t>
        </is>
      </c>
      <c r="C5" s="27" t="inlineStr">
        <is>
          <t>AT12131S（AT 系列 · 独立用户手册 · 无 v1 排查 docx）</t>
        </is>
      </c>
      <c r="D5" s="27" t="inlineStr">
        <is>
          <t>the gate does nothing when i push the button or use the key pad remote.</t>
        </is>
      </c>
      <c r="E5" s="25" t="inlineStr">
        <is>
          <t>对</t>
        </is>
      </c>
      <c r="F5" s="25" t="inlineStr">
        <is>
          <t>直接可发</t>
        </is>
      </c>
      <c r="G5" s="25" t="inlineStr">
        <is>
          <t>配对相关</t>
        </is>
      </c>
      <c r="H5" s="25" t="inlineStr">
        <is>
          <t>通过</t>
        </is>
      </c>
      <c r="I5" s="27" t="inlineStr">
        <is>
          <t>—</t>
        </is>
      </c>
      <c r="J5" s="37" t="inlineStr">
        <is>
          <t>[预检] truncated=N · steps=5 · proceed_ref=N · check_step_ref=N · glued=N · type=fault
cs_id=cs_0001
lib=a3s(fan_out)
top1=qa_011
top3=qa_011,qa_011,qa_011
images=image_007.png
style=F1_no_response
--- system reply ---
Dear Customer,
Thank you for contacting TOPENS. This is Lori from TOPENS Customer Service Team. It will be a pleasure to assist you today.
I apologize for any inconvenience this may have caused, but do not worry, we will do our best to help you.
Checked with our engineer, please help us do some tests to find out the problem, so that we can provide corresponding help.
1. Please measure the voltage of the +BAT- terminals (11# and 12#) on the control board to see whether it is above 22VDC. If the voltage is below 22VDC, please check whether the output voltage of the adapter is 36VDC. If so, disconnect the batteries from the control board and measure the output voltage of the batteries to see whether it is above 22VDC. If the voltage of the batteries is also below 22VDC, please keep the batteries charged fully to try it again. If it still cannot work, please check the batteries. Kindly note that a 24V 12Ah battery (or 2pcs 12V batteries connected in series may function as 24V) is required to power the gate opener. Marine or Automotive type battery is compatible.
2. Disconnect all accessories from the control board first (just leave the power source and the arm). And disable the photocell function by turning the dip switch #3 off. Then erase all remotes codes from the control board and reprogram them to have a try. If it fails, please instantaneously short (plug the wire in, then pull it out immediately) the push button terminals (4# and 5#) to check whether the opener can work.
How to instantaneously short the “O/S/C COM” terminals:
https://drive.google.com/file/d/1VdDhyHZxmpQE5pG7BYHOJi5GYb7iZHFS/view?usp=sharing
3. If there is still no luck, please release the clutches on the arm and push the gate to the middle position firstly. And engage the clutches and press the remote to see whether the gate can run towards the both directions. If it still doesn’t help, please
4. Please check the motor. Connect the red &amp; black wires of the arm to the DC 24V power source directly, the motor should run, and then exchange the polarity of the wires, the motor should run in the opposite direction. If the motor runs in both directions, the motor itself is good. Please connect the black &amp; red wires back to the control board and continue.
5. Disconnect the BLUE, GREEN &amp; YELLOW wires of the faulty arm from the control board, use two jumper wires to short the ULT, COM &amp; DLT terminals to which the wires were connected, and then press the remote to see if the opener can run.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All TOPENS products are backed by a 12-month warranty.
Thank you again for being a valued customer! Your complete satisfaction is what we strive for. We at TOPENS are always standing by and ready to help.
Best regards,
Lori
TOPENS Customer Service Team</t>
        </is>
      </c>
      <c r="K5" s="25" t="inlineStr">
        <is>
          <t>agent-p0p1p2-2026-07-12 · 2026-07-12 · P1①对·qa_011；DIP#3/4#5# instant short/限位短接；image_007配排查步</t>
        </is>
      </c>
      <c r="L5" s="39" t="inlineStr">
        <is>
          <t>打开 Reference</t>
        </is>
      </c>
    </row>
    <row r="6" ht="15" customHeight="1" s="19">
      <c r="A6" s="25" t="inlineStr">
        <is>
          <t>MAIL-02</t>
        </is>
      </c>
      <c r="B6" s="26" t="inlineStr">
        <is>
          <t>是</t>
        </is>
      </c>
      <c r="C6" s="27" t="inlineStr">
        <is>
          <t>A8132 · ET24 electric lock · UPS01</t>
        </is>
      </c>
      <c r="D6" s="27" t="inlineStr">
        <is>
          <t>gate opener worked four days now motor won't function lock still unlocks</t>
        </is>
      </c>
      <c r="E6" s="25" t="inlineStr">
        <is>
          <t>错</t>
        </is>
      </c>
      <c r="F6" s="25" t="inlineStr">
        <is>
          <t>小改可发</t>
        </is>
      </c>
      <c r="G6" s="25" t="inlineStr">
        <is>
          <t>配对相关</t>
        </is>
      </c>
      <c r="H6" s="25" t="inlineStr">
        <is>
          <t>不通过</t>
        </is>
      </c>
      <c r="I6" s="27" t="inlineStr">
        <is>
          <t>复合</t>
        </is>
      </c>
      <c r="J6" s="37" t="inlineStr">
        <is>
          <t>[预检] truncated=N · steps=6 · proceed_ref=N · check_step_ref=N · glued=N · type=fault
cs_id=cs_0002
lib=a3s(keyword)
top1=qa_037
top3=qa_037,qa_037,qa_034
top1_hit=MISS
images=image_025.png, image_026.png, image_027.png
style=F3_power_motor
--- system reply ---
Dear Customer,
Thank you for contacting TOPENS. This is Heidi from TOPENS Customer Service Team. It will be a pleasure to assist you today.
I apologize for any inconvenience this issue may have caused, but do not worry, we will do our best to help you. All TOPENS products are backed by a 12-month warranty.
Checked with our engineer, please help us do some tests to find out the problem, so that we can provide corresponding help.
Since you mentioned the lock still unlocks but the motor won't function, please first confirm whether you hear the motor running but the arm does not move, or if the motor is completely silent. Based on what you described, the initial steps below assume the motor activates but the arm fails to move.
1. Disengage the clutch and manually push the moving-rod to the middle position. Then, press the remote control to test for movement.
2. If the arm still does not move, re-engage the clutch and detach the arm from the gate. While pushing the moving-rod inward, rotate the front mount clockwise. If the arm begins to move, the screw nut may have disengaged from the screw rod at the far end. Once the arm is back in the middle position, use the remote control to test operation again.
3. Once the arm functions properly, use a screwdriver to loosen the screw on Limit Switch B. Slide the switch slightly inward and re-tighten the screw to prevent future over-extension. For additional guidance, please refer to this help article: https://topens.com/blogs/blog-posts/how-to-retract-the-moving-rod-when-the-opener-arm-extends-too-much
4. If the opener arm is partially extended or fully retracted and the moving-rod does not move despite motor activation, ensure that the clutch is fully and correctly engaged. If engagement appears normal, disassemble the opener arm and check whether clutch components (Part B and Part C) are properly aligned. If not, manually rotate the front mount until proper alignment is achieved.
5. Verify the connection between the screw rod and the clutch component with bearing (Part C). Also inspect the moving-rod’s screw nut for signs of damage or excessive wear.
6. If all visible components appear intact and operational, but abnormal or excessive noise is present in the motor area, the issue may lie within the motor’s reduction gearbox. Internal gear damage or slippage can prevent the arm from moving, even if the motor is running. In this case, please dismantle the gearbox of the motor and check the gears inside.
Please let me know the result one by one. Kindly also share some videos showing the control board and the arm when you attempt to operate it. If the attachments are too large, you can share the video link through Dropbox, iCloud, or Google Drive. If you have not already, please reply with your order number and your shipping address including zip code and phone number so we can assist you further if a replacement is needed.
Thank you again for being a valued customer! Your complete satisfaction is what we strive for. We at TOPENS are always standing by and ready to help.
Best regards,
Heidi
TOPENS Customer Service Team</t>
        </is>
      </c>
      <c r="K6" s="25" t="inlineStr">
        <is>
          <t>agent-p0p1p2-2026-07-12 · 2026-07-12 · top1=qa_037∉acceptable；缺11#/12#与限位短接</t>
        </is>
      </c>
      <c r="L6" s="39" t="inlineStr">
        <is>
          <t>打开 Reference</t>
        </is>
      </c>
    </row>
    <row r="7" ht="15" customHeight="1" s="19">
      <c r="A7" s="25" t="inlineStr">
        <is>
          <t>MAIL-03</t>
        </is>
      </c>
      <c r="B7" s="26" t="inlineStr">
        <is>
          <t>是</t>
        </is>
      </c>
      <c r="C7" s="27" t="inlineStr">
        <is>
          <t>AD8 · DPS180-U-AC-DC Power Supply</t>
        </is>
      </c>
      <c r="D7" s="27" t="inlineStr">
        <is>
          <t>Installed openers as per instructions. Programmed supplied remotes. 3 LEDs on control board responds when remote is pre…</t>
        </is>
      </c>
      <c r="E7" s="25" t="inlineStr">
        <is>
          <t>对</t>
        </is>
      </c>
      <c r="F7" s="25" t="inlineStr">
        <is>
          <t>直接可发</t>
        </is>
      </c>
      <c r="G7" s="25" t="inlineStr">
        <is>
          <t>配对相关</t>
        </is>
      </c>
      <c r="H7" s="25" t="inlineStr">
        <is>
          <t>通过</t>
        </is>
      </c>
      <c r="I7" s="27" t="inlineStr">
        <is>
          <t>—</t>
        </is>
      </c>
      <c r="J7" s="37" t="inlineStr">
        <is>
          <t>[预检] truncated=N · steps=5 · proceed_ref=N · check_step_ref=N · glued=N · type=fault
cs_id=cs_0003
lib=ad5s(keyword)
top1=qa_010
top3=qa_010,qa_010,qa_010
top1_hit=OK
images=image_007.png
style=F1_no_response
--- system reply ---
Dear Rick,
Thank you for contacting TOPENS. This is Lori from TOPENS Customer Service Team. It will be a pleasure to assist you today.
I apologize for the trouble with your gate opener not moving even though the control board LEDs are responding. Do not worry, we will do our best to help you. All TOPENS products are backed by a 12-month warranty.
Checked with our engineer, please help us do some tests to find out the problem, so that we can provide corresponding help.
1. Please measure the voltage of the +BAT- terminals (11# and 12#) on the control board to see whether it is above 22VDC. If so, please continue to step 2. If the voltage is below 22VDC, please check whether the output voltage of the adapter is 36VDC. If so, disconnect the batteries from the control board and measure the output voltage of the batteries to see whether it is above 22VDC. If the voltage of the batteries is also below 22VDC, please keep the batteries charged fully to try it again. If it still cannot work, please check the batteries. Kindly note that a 24V 12Ah battery (or 2pcs 12V batteries connected in series may function as 24V) is required to power the gate opener. Marine or Automotive type battery is compatible.
2. Disconnect all accessories from the control board first (just leave the power source and the arms). And disable the photocell function by turning the dip switch #5 off. Then erase all remotes codes from the control board and reprogram them to have a try. If it fails, please instantaneously short (plug the wire in, then pull it out immediately) the push button terminals (#4 and #5) to check whether the opener can work. You can refer to this video for the correct shorting procedure: https://drive.google.com/file/d/1VdDhyHZxmpQE5pG7BYHOJi5GYb7iZHFS/view?usp=sharing
3. If there is still no luck, please release the clutches on the two arms and push the gate to the middle position firstly. And engage the clutches and press the remote to see whether the gate can run in both directions.
4. Please check the motor. Connect the red &amp; black wires of the arm to the DC 24V power source directly, the motor should run, and then exchange the polarity of the wires, the motor should run in the opposite direction. If the motor runs in both directions, the motor itself is good. Please connect the black &amp; red wires back to the control board and continue to step 5.
5. Disconnect the BLUE, GREEN &amp; YELLOW wires of the faulty arm from the control board, use two jumper wires to short the ULT, COM &amp; DLT terminals to which the wires were connected, and then press the remote to see if the arm could extend and retract. If it could move in both directions, then the limit switch is defective.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Lori
TOPENS Customer Service Team</t>
        </is>
      </c>
      <c r="K7" s="25" t="inlineStr">
        <is>
          <t>agent-p0p1p2-2026-07-12 · 2026-07-12 · P2·qa_010；DIP#5+4#5# short；image_007 batch重复·配板图可接受</t>
        </is>
      </c>
      <c r="L7" s="39" t="inlineStr">
        <is>
          <t>打开 Reference</t>
        </is>
      </c>
    </row>
    <row r="8" ht="15" customHeight="1" s="19">
      <c r="A8" s="25" t="inlineStr">
        <is>
          <t>MAIL-04</t>
        </is>
      </c>
      <c r="B8" s="26" t="inlineStr">
        <is>
          <t>是</t>
        </is>
      </c>
      <c r="C8" s="27" t="inlineStr">
        <is>
          <t>PW302 Dual Swing · A8131（客服推荐）· UPS01</t>
        </is>
      </c>
      <c r="D8" s="27" t="inlineStr">
        <is>
          <t>Hello I'm Matt, I have two seperate gates. Was going to buy a double gate and need another PS and controller. Gates is …</t>
        </is>
      </c>
      <c r="E8" s="25" t="inlineStr">
        <is>
          <t>对</t>
        </is>
      </c>
      <c r="F8" s="25" t="inlineStr">
        <is>
          <t>直接可发</t>
        </is>
      </c>
      <c r="G8" s="25" t="inlineStr">
        <is>
          <t>无需图</t>
        </is>
      </c>
      <c r="H8" s="25" t="inlineStr">
        <is>
          <t>通过</t>
        </is>
      </c>
      <c r="I8" s="27" t="inlineStr">
        <is>
          <t>—</t>
        </is>
      </c>
      <c r="J8" s="37" t="inlineStr">
        <is>
          <t>[预检] truncated=N · steps=0 · proceed_ref=N · check_step_ref=N · glued=N · type=presales
cs_id=cs_0004
lib=ad5s(fan_out)
top1=qa_015
top3=qa_015,qa_015,qa_009
images=(无)
style=F7_presales
--- system reply ---
Dear Matt,
Thank you for contacting TOPENS. This is Joyce from TOPENS Customer Service Team. It will be a pleasure to assist you today.
According to your description, you have two separate gates, each about 100 lbs and 16 ft, and you need a system that allows you to open either gate independently with two remotes. The TOPENS PW302 Dual Swing Gate Opener is a solid choice for a single double-gate, but since you have two separate gates, you will need a different setup.
Our Recommendation: For two independent single gates, we recommend two PW502 Single Swing Gate Opener kits. The PW502 is rated for gates up to 1100 lbs and 20 ft, so it will handle your 100 lb, 16 ft gates with ease. To control each gate separately with the same remote, you can program each opener's remote to only operate its designated gate. The remotes included with the PW502 have multiple buttons, allowing you to assign one button to Gate A and another to Gate B.
If you are in the US, below are some links for your reference.
Purchasing link: https://topens.com/products/pw502
User manual: https://cdn.shopify.com/s/files/1/0270/6397/6017/files/PW502_User_Manual.pdf
Installation video: https://youtu.be/lp7wzFk_w2I
At TOPENS, all of our products come with a 12-month warranty. More importantly, we provide lifetime technical support via email. To give you more specific advice, could you please send us photos of your gate hinges and posts? This will help us confirm the mounting options.
Hope this can help you. Please share me the order information when you purchase the TOPENS gate opener, so that I can help you register the warranty. Feel free to contact us if you have any questions or concerns during the product installation and use in the future.
Thank you once again for being a valued customer! Your complete satisfaction is what we strive for. We at TOPENS are always standing by and ready to help.
Best regards,
Joyce
TOPENS Customer Service Team</t>
        </is>
      </c>
      <c r="K8" s="25" t="inlineStr">
        <is>
          <t>agent-p0p1p2-2026-07-12 · 2026-07-12 · presales</t>
        </is>
      </c>
      <c r="L8" s="39" t="inlineStr">
        <is>
          <t>打开 Reference</t>
        </is>
      </c>
    </row>
    <row r="9" ht="15" customHeight="1" s="19">
      <c r="A9" s="25" t="inlineStr">
        <is>
          <t>MAIL-05</t>
        </is>
      </c>
      <c r="B9" s="26" t="inlineStr">
        <is>
          <t>是</t>
        </is>
      </c>
      <c r="C9" s="27" t="inlineStr">
        <is>
          <t>AT12132S（表单选型）· JY9132（客服推荐）· 纯太阳能</t>
        </is>
      </c>
      <c r="D9" s="27" t="inlineStr">
        <is>
          <t>Hello there I have yet to buy a gate from you guys. I was actually wondering why I should buy a gate opener from you ve…</t>
        </is>
      </c>
      <c r="E9" s="25" t="inlineStr">
        <is>
          <t>对</t>
        </is>
      </c>
      <c r="F9" s="25" t="inlineStr">
        <is>
          <t>直接可发</t>
        </is>
      </c>
      <c r="G9" s="25" t="inlineStr">
        <is>
          <t>配对相关</t>
        </is>
      </c>
      <c r="H9" s="25" t="inlineStr">
        <is>
          <t>通过</t>
        </is>
      </c>
      <c r="I9" s="27" t="inlineStr">
        <is>
          <t>—</t>
        </is>
      </c>
      <c r="J9" s="37" t="inlineStr">
        <is>
          <t>[预检] truncated=N · steps=0 · proceed_ref=N · check_step_ref=N · glued=N · type=presales
cs_id=cs_0005
lib=ad5s(fan_out)
top1=qa_007
top3=qa_007,qa_010,qa_010
images=image_007.png
style=F7_presales
--- system reply ---
Dear Customer,
Thank you for contacting TOPENS. This is Heidi from TOPENS Customer Service Team. It will be a pleasure to assist you today.
We really appreciate you considering TOPENS for your dual swing solar gate opener project. It is completely understandable to weigh the options, especially when you have friends using other brands.
All TOPENS products are backed by a 12-month warranty, and we also provide lifetime technical support via email. For a 34-foot opening with twin gates, a model like the TOPENS DK1000S Solar Dual Gate Opener would be a suitable match for your needs. You can find the manual and installation video for this model at the links below.
User manual: https://topens.com/products/dk1000s-solar-gate-opener
Installation video: https://www.youtube.com/watch?v=qbEFfMt8j68
Regarding the comparison with Ghost Controls, many users find that our robust, all-metal actuator arms and strong backup battery performance offer excellent value and durability. To give you more specific advice on your setup or to share more detailed comparisons, could you please send us photos of your gate? This will help us confirm the best model.
Thank you once again for being a valued customer! Your complete satisfaction is what we strive for. We at TOPENS are always standing by and ready to help.
Best regards,
Heidi
TOPENS Customer Service Team</t>
        </is>
      </c>
      <c r="K9" s="25" t="inlineStr">
        <is>
          <t>agent-p0p1p2-2026-07-12 · 2026-07-12 · presales·image_007 caption空</t>
        </is>
      </c>
      <c r="L9" s="39" t="inlineStr">
        <is>
          <t>打开 Reference</t>
        </is>
      </c>
    </row>
    <row r="10" ht="15" customHeight="1" s="19">
      <c r="A10" s="25" t="inlineStr">
        <is>
          <t>MAIL-06</t>
        </is>
      </c>
      <c r="B10" s="26" t="inlineStr">
        <is>
          <t>是</t>
        </is>
      </c>
      <c r="C10" s="27" t="inlineStr">
        <is>
          <t>A8131 · AT12131</t>
        </is>
      </c>
      <c r="D10" s="27" t="inlineStr">
        <is>
          <t>What is the difference between models A8131 and AT12131? Thank You</t>
        </is>
      </c>
      <c r="E10" s="25" t="inlineStr">
        <is>
          <t>对</t>
        </is>
      </c>
      <c r="F10" s="25" t="inlineStr">
        <is>
          <t>小改可发</t>
        </is>
      </c>
      <c r="G10" s="25" t="inlineStr">
        <is>
          <t>配对相关</t>
        </is>
      </c>
      <c r="H10" s="25" t="inlineStr">
        <is>
          <t>不通过</t>
        </is>
      </c>
      <c r="I10" s="27" t="inlineStr">
        <is>
          <t>生成</t>
        </is>
      </c>
      <c r="J10" s="37" t="inlineStr">
        <is>
          <t>[预检] truncated=N · steps=0 · proceed_ref=N · check_step_ref=N · glued=N · type=presales
cs_id=cs_0006
lib=a3s(keyword)
top1=qa_011
top3=qa_011,qa_011,qa_011
images=image_007.png
style=F7_presales
--- system reply ---
Dear Customer,
Thank you for contacting TOPENS. This is Joyce from TOPENS Customer Service Team. It will be a pleasure to assist you today.
The main difference between the A8131 and AT12131 is their power and application. The AT12131 is a heavier-duty model designed for larger, heavier gates, typically up to 20 feet and 1300 lbs, while the A8131 is suited for gates up to 16 feet and 800 lbs. The AT12131 also uses more robust arms and offers a faster operating speed compared to the A8131.
All TOPENS products are backed by a 12-month warranty, and we provide lifetime technical support.
If you can let me know the total length and weight of your gate, along with a few photos, I would be happy to give you a more specific recommendation to ensure you get the best fit.
Hope this helps you. Feel free to contact us if you have any further questions.
Best regards,
Joyce
TOPENS Customer Service Team</t>
        </is>
      </c>
      <c r="K10" s="25" t="inlineStr">
        <is>
          <t>agent-p0p1p2-2026-07-12 · 2026-07-12 · presales weak links</t>
        </is>
      </c>
      <c r="L10" s="39" t="inlineStr">
        <is>
          <t>打开 Reference</t>
        </is>
      </c>
    </row>
    <row r="11" ht="15" customHeight="1" s="19">
      <c r="A11" s="25" t="inlineStr">
        <is>
          <t>MAIL-07</t>
        </is>
      </c>
      <c r="B11" s="26" t="inlineStr">
        <is>
          <t>是</t>
        </is>
      </c>
      <c r="C11" s="27" t="inlineStr">
        <is>
          <t>AT1202 · AT602 · A8132 · KD702 · M12 · TC196 · TC175 · TC148 · ERM12</t>
        </is>
      </c>
      <c r="D11" s="27" t="inlineStr">
        <is>
          <t>Good Afternoon, I am looking to purchase 2 sets of dual swing opener kits from Amazon as I am In the UK. Could you plea…</t>
        </is>
      </c>
      <c r="E11" s="25" t="inlineStr">
        <is>
          <t>对</t>
        </is>
      </c>
      <c r="F11" s="25" t="inlineStr">
        <is>
          <t>直接可发</t>
        </is>
      </c>
      <c r="G11" s="25" t="inlineStr">
        <is>
          <t>配对相关</t>
        </is>
      </c>
      <c r="H11" s="25" t="inlineStr">
        <is>
          <t>通过</t>
        </is>
      </c>
      <c r="I11" s="27" t="inlineStr">
        <is>
          <t>—</t>
        </is>
      </c>
      <c r="J11" s="37" t="inlineStr">
        <is>
          <t>[预检] truncated=N · steps=0 · proceed_ref=N · check_step_ref=N · glued=N · type=presales
cs_id=cs_0007
lib=a3s(keyword)
top1=qa_020
top3=qa_020,qa_034,qa_024
images=image_016.png, image_021.png
style=F7_presales
--- system reply ---
Dear Nick,
Thank you for contacting TOPENS. This is Heidi from TOPENS Customer Service Team. It will be a pleasure to assist you today.
I understand you are looking to purchase two dual swing opener kits for your two sets of gates and need clarification on the differences between several models. Do not worry, I am happy to help you select the best option.
All TOPENS products are backed by a 12-month warranty, and we provide lifetime technical support.
Our Recommendation: The AT1202, AT602, A8132, and KD902 are all dual swing gate openers, but they vary in power and features. Since your gates are lightweight aluminum (20-30kg each) and 3m long, the AT602 would be a suitable and cost-effective choice. The A8132 or AT1202 offer more powerful motors, which provides extra margin, especially useful on windy days or if the gates ever become slightly harder to move over time. The KD902 is a high-duty cycle hydraulic model, which is typically overkill for a residential setup like yours.
Regarding your questions about remote control:
The M12 remote has four buttons, and each can be programmed independently. You can program one button to open only your gate, another button to open only the neighbor's gate, and a third button to open both gates simultaneously. This way, you and the new owners can have remotes tailored to your specific access needs. For your requirement, you would program the desired buttons on your 6 remotes and their 2 remotes accordingly.
The TC196 WiFi remote works through the TOPENS eLink app. Within the app, you can create and name separate controllers for each gate opener, so you can choose to open one gate or both from your smartphone.
Your plan to wire in TC175P touch panels and TC148 switches is perfectly suitable for this installation.
If you are in the UK, here are some links for your reference.
AT602 on Amazon UK: https://www.amazon.co.uk/dp/B07D1J5T6L
AT1202 on Amazon UK: https://www.amazon.co.uk/dp/B07L5YG7ZC
User manual for AT602: https://topens.com/wp-content/uploads/2019/05/AT602-user-manual-20190521.pdf
Installation video for AT602: https://youtu.be/e9m8Y6lv2gg
Please share your order information once you make the purchase, so I can help you register the warranty. Feel free to contact us if you have any questions during installation or use.
Thank you once again for being a valued customer! Your complete satisfaction is what we strive for. We at TOPENS are always standing by and ready to help.
Best regards,
Heidi
TOPENS Customer Service Team</t>
        </is>
      </c>
      <c r="K11" s="25" t="inlineStr">
        <is>
          <t>agent-p0p1p2-2026-07-12 · 2026-07-12 · presales</t>
        </is>
      </c>
      <c r="L11" s="39" t="inlineStr">
        <is>
          <t>打开 Reference</t>
        </is>
      </c>
    </row>
    <row r="12" ht="15" customHeight="1" s="19">
      <c r="A12" s="28" t="inlineStr">
        <is>
          <t>MAIL-08</t>
        </is>
      </c>
      <c r="B12" s="29" t="inlineStr">
        <is>
          <t>否</t>
        </is>
      </c>
      <c r="C12" s="30" t="inlineStr">
        <is>
          <t>PW502 · TC148 · M12</t>
        </is>
      </c>
      <c r="D12" s="30" t="inlineStr">
        <is>
          <t>Push button not working, therefore we jumpered out #4&amp;5 at the main control panel and still nothing happened. Other tha…</t>
        </is>
      </c>
      <c r="E12" s="28" t="inlineStr">
        <is>
          <t>对</t>
        </is>
      </c>
      <c r="F12" s="28" t="inlineStr">
        <is>
          <t>直接可发</t>
        </is>
      </c>
      <c r="G12" s="28" t="inlineStr">
        <is>
          <t>配对相关</t>
        </is>
      </c>
      <c r="H12" s="28" t="inlineStr">
        <is>
          <t>通过</t>
        </is>
      </c>
      <c r="I12" s="30" t="inlineStr">
        <is>
          <t>—</t>
        </is>
      </c>
      <c r="J12" s="38" t="inlineStr">
        <is>
          <t>[预检] truncated=N · steps=4 · proceed_ref=N · check_step_ref=N · glued=N · type=fault
cs_id=cs_0008
lib=tc148(keyword)
top1=qa_001
top3=qa_001,qa_002
top1_hit=OK
images=image_001.png
style=F2_tc148_wired
--- system reply ---
Dear Customer,
Thank you for contacting TOPENS. This is Lori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Disconnect the extension cable connecting TC148 to the control board and replace it with a short cable to test whether the gate opener works. If yes, please confirm the distance between TC148 and the control board.
2. Disconnect all wired accessories from the control board except the power supply and arm. Momentarily short the push button terminals (4# and 5#, or O/S/C and COM) — please use an instant touch only, plug in then pull out immediately — to see if the opener responds.
3. Confirm the wall switch is a genuine TOPENS TC148, as third-party switches may be incompatible.
(I know you've already tested by jumpering terminals #4 and #5. Could you please try the instant short procedure in step 2 again, making sure it is a momentary touch rather than a continuous jumper?)
4. Check wire distance and gauge: use well-shielded 2C×22 AWG (2×0.3 mm²) minimum, and keep cable length under 15 m when possible.
For reference, here is a video showing how to instantaneously short the “O/S/C COM” terminals: https://drive.google.com/file/d/1VdDhyHZxmpQE5pG7BYHOJi5GYb7iZHFS/view?usp=sharing
You may also find this guide helpful: https://topens.com/blogs/blog-posts/how-to-connect-multiple-accessories-to-a-shared-terminal-on-a-topens-gate-opener-control-board
Looking forward to the result after you finish the troubleshooting.
And also please reply with your specific SHIPPING ADDRESS with zip code and confirm a PHONE # available for further assistance.
Thank you again for being a valued customer! Your complete satisfaction is what we strive for. We at TOPENS are always standing by and ready to help.
Best regards,
Lori
TOPENS Customer Service Team</t>
        </is>
      </c>
      <c r="K12" s="28" t="inlineStr">
        <is>
          <t>agent-p0p1p2-2026-07-12 · 2026-07-12 · TC148·不计MVP19</t>
        </is>
      </c>
      <c r="L12" s="39" t="inlineStr">
        <is>
          <t>打开 Reference</t>
        </is>
      </c>
    </row>
    <row r="13" ht="15" customHeight="1" s="19">
      <c r="A13" s="28" t="inlineStr">
        <is>
          <t>MAIL-09</t>
        </is>
      </c>
      <c r="B13" s="29" t="inlineStr">
        <is>
          <t>否</t>
        </is>
      </c>
      <c r="C13" s="30" t="inlineStr">
        <is>
          <t>AT6131 · ET24 · TC148 · UPS01</t>
        </is>
      </c>
      <c r="D13" s="30" t="inlineStr">
        <is>
          <t>Hi Joyce, I have set up a retractive switch (same as TC148 with COM and L1 connections) and it is connected as per the …</t>
        </is>
      </c>
      <c r="E13" s="28" t="inlineStr">
        <is>
          <t>错</t>
        </is>
      </c>
      <c r="F13" s="28" t="inlineStr">
        <is>
          <t>小改可发</t>
        </is>
      </c>
      <c r="G13" s="28" t="inlineStr">
        <is>
          <t>配对相关</t>
        </is>
      </c>
      <c r="H13" s="28" t="inlineStr">
        <is>
          <t>不通过</t>
        </is>
      </c>
      <c r="I13" s="30" t="inlineStr">
        <is>
          <t>复合</t>
        </is>
      </c>
      <c r="J13" s="38" t="inlineStr">
        <is>
          <t>[预检] truncated=N · steps=3 · proceed_ref=N · check_step_ref=N · glued=N · type=fault
cs_id=cs_0009
lib=ad5s(fan_out)
top1=qa_031
top3=qa_031,qa_019,qa_019
top1_hit=MISS
images=image_016.png, image_017.png, image_018.jpg
style=F2_tc148_wired
--- system reply ---
Dear David,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Please check the DIP Switch #1 setting on the control board. This switch selects the gate's operation mode. If your gate opens into the property (pull to open), set DIP Switch #1 to OFF (factory default). If it opens out from the property (push to open), set DIP Switch #1 to ON.
2. Disconnect all wired accessories from the control board, leaving only the power source and the arm connected. Also, disable the photocell function by turning DIP Switch #5 off, and ensure the jumper wire between EDGE and GND (terminal #7 &amp; #8) is securely fastened. Then observe if the gate runs randomly without the push button connected.
I know you've already tested with a jumper wire between #4 and #5 and the gate worked normally. Could you please try this procedure again with the push button completely disconnected and confirm the DIP switch settings above?
3. If the problem disappears with the button disconnected, please double-check the wiring of your retractive switch. The switch must provide a dry contact closure across terminals #4 and #5, meaning COM and L1 should only momentarily connect when you press and release the switch. Any continuous connection between #4 and #5 will cause the erratic cycling you described. Please verify with a multimeter that there is no continuity when the switch is at rest.
Looking forward to the result after you finish the troubleshooting. Please share any photos of the control board wiring and the switch connections, along with the video you mentioned. If the video is too large for email, you can share it via Dropbox, iCloud, or Google Drive.
Please also reply with your specific SHIPPING ADDRESS with zip code and confirm a PHONE # available, in case we need to send any replacement parts.
Thank you again for being a valued customer! Your complete satisfaction is what we strive for. We at TOPENS are always standing by and ready to help.
Best regards,
Joyce
TOPENS Customer Service Team</t>
        </is>
      </c>
      <c r="K13" s="28" t="inlineStr">
        <is>
          <t>agent-p0p1p2-2026-07-12 · 2026-07-12 · top1=qa_031∉acceptable</t>
        </is>
      </c>
      <c r="L13" s="39" t="inlineStr">
        <is>
          <t>打开 Reference</t>
        </is>
      </c>
    </row>
    <row r="14" ht="15" customHeight="1" s="19">
      <c r="A14" s="28" t="inlineStr">
        <is>
          <t>MAIL-10</t>
        </is>
      </c>
      <c r="B14" s="29" t="inlineStr">
        <is>
          <t>否</t>
        </is>
      </c>
      <c r="C14" s="30" t="inlineStr">
        <is>
          <t>A8131 · TC148</t>
        </is>
      </c>
      <c r="D14" s="30" t="inlineStr">
        <is>
          <t>Hi Lori, I have now purchased the Topens wired push button TC148. I have connected it to O.S.B(4) &amp; COM(5). I am gettin…</t>
        </is>
      </c>
      <c r="E14" s="28" t="inlineStr">
        <is>
          <t>对</t>
        </is>
      </c>
      <c r="F14" s="28" t="inlineStr">
        <is>
          <t>直接可发</t>
        </is>
      </c>
      <c r="G14" s="28" t="inlineStr">
        <is>
          <t>配对相关</t>
        </is>
      </c>
      <c r="H14" s="28" t="inlineStr">
        <is>
          <t>通过</t>
        </is>
      </c>
      <c r="I14" s="30" t="inlineStr">
        <is>
          <t>—</t>
        </is>
      </c>
      <c r="J14" s="38" t="inlineStr">
        <is>
          <t>[预检] truncated=N · steps=4 · proceed_ref=N · check_step_ref=N · glued=N · type=fault
cs_id=cs_0010
lib=tc148(keyword)
top1=qa_002
top3=qa_002,qa_001
top1_hit=OK
images=image_001.png
style=F2_tc148_wired
--- system reply ---
Dear Ian,
Thank you for contacting TOPENS. This is Lori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Disconnect the extension cable connecting TC148 to the control board and replace it with a short cable to test whether the gate opener works. If yes, please confirm the distance between TC148 and the control board.
2. Disconnect all wired accessories from the control board except the power supply and arm. Momentarily short (instant touch only — plug in then pull out) the push button terminals (4# and 5#, or O/S/C and COM) to see if the opener responds.
3. Confirm the wall switch is a genuine TOPENS TC148 (third-party switches may be incompatible).
4. Check wire distance and gauge: use well-shielded 2C×22 AWG (2×0.3 mm²) minimum; keep cable length under 15 m when possible.
Please also watch this video showing how to instantaneously short the “O/S/C COM” terminals: https://drive.google.com/file/d/1VdDhyHZxmpQE5pG7BYHOJi5GYb7iZHFS/view?usp=sharing
And you may find this guide helpful for connecting multiple accessories: https://topens.com/blogs/blog-posts/how-to-connect-multiple-accessories-to-a-shared-terminal-on-a-topens-gate-opener-control-board
Kindly tell me the result of each step. Please also send a short video or clear photos of the whole control board setup showing wiring connections.
If we confirm the button is faulty, please reply with your specific SHIPPING ADDRESS with zip code and confirm a PHONE number available for further assistance.
Thank you again for being a valued customer! Your complete satisfaction is what we strive for. We at TOPENS are always standing by and ready to help.
Best regards,
Lori
TOPENS Customer Service Team</t>
        </is>
      </c>
      <c r="K14" s="28" t="inlineStr">
        <is>
          <t>agent-p0p1p2-2026-07-12 · 2026-07-12 · TC148·不计MVP19</t>
        </is>
      </c>
      <c r="L14" s="39" t="inlineStr">
        <is>
          <t>打开 Reference</t>
        </is>
      </c>
    </row>
    <row r="15" ht="15" customHeight="1" s="19">
      <c r="A15" s="25" t="inlineStr">
        <is>
          <t>MAIL-11</t>
        </is>
      </c>
      <c r="B15" s="26" t="inlineStr">
        <is>
          <t>是</t>
        </is>
      </c>
      <c r="C15" s="27" t="inlineStr">
        <is>
          <t>A8132 · PW802 · AD8 · AT1202 · TC188 · TC173 · ERM12</t>
        </is>
      </c>
      <c r="D15" s="27" t="inlineStr">
        <is>
          <t>what is the difference between A8132 PW802 AD8 AT1202</t>
        </is>
      </c>
      <c r="E15" s="25" t="inlineStr">
        <is>
          <t>对</t>
        </is>
      </c>
      <c r="F15" s="25" t="inlineStr">
        <is>
          <t>小改可发</t>
        </is>
      </c>
      <c r="G15" s="25" t="inlineStr">
        <is>
          <t>无需图</t>
        </is>
      </c>
      <c r="H15" s="25" t="inlineStr">
        <is>
          <t>不通过</t>
        </is>
      </c>
      <c r="I15" s="27" t="inlineStr">
        <is>
          <t>生成</t>
        </is>
      </c>
      <c r="J15" s="37" t="inlineStr">
        <is>
          <t>[预检] truncated=N · steps=2 · proceed_ref=N · check_step_ref=N · glued=N · type=presales
cs_id=cs_0011
lib=a3s(keyword)
top1=qa_042
top3=qa_042,qa_042,qa_042
images=(无)
style=F7_presales
--- system reply ---
Dear Customer,
Thank you for contacting TOPENS. This is Lori from TOPENS Customer Service Team. It will be a pleasure to assist you today.
I understand you are looking for the differences between the A8132, PW802, AD8, and AT1202 models. I will be happy to clarify their primary distinctions. All TOPENS products are backed by a 12-month warranty and we provide lifetime technical support via email.
Checked with our engineer, please help us understand your specific needs so we can provide the most accurate recommendation. The main differences between these models are typically related to their design and application, such as articulated arm versus ram-style operation, and their specific weight and length capacities for different gate types.
1. The **A8132** and **AD8** are articulated arm gate openers, ideal for swing gates with wide posts or pillars where the hinge point needs to be offset. The AD8 is generally a heavier-duty model compared to the A8132, capable of handling longer and heavier gates.
2. The **PW802** and **AT1202** are ram-style (linear actuator) gate openers. The AT1202 is a higher-capacity, heavy-duty ram opener designed for very heavy or long swing gates, while the PW802 is suited for lighter-duty residential applications and is often popular for its use in solar-powered setups.
Could you please share photos of your gate, including the hinges and posts, along with the gate's total length and weight? This will allow us to confirm exactly which model is the best fit for your specific installation. I look forward to hearing from you.
Thank you once again for being a valued customer! Your complete satisfaction is what we strive for. We at TOPENS are always standing by and ready to help.
Best regards,
Lori
TOPENS Customer Service Team</t>
        </is>
      </c>
      <c r="K15" s="25" t="inlineStr">
        <is>
          <t>agent-p0p1p2-2026-07-12 · 2026-07-12 · presales weak links</t>
        </is>
      </c>
      <c r="L15" s="39" t="inlineStr">
        <is>
          <t>打开 Reference</t>
        </is>
      </c>
    </row>
    <row r="16" ht="15" customHeight="1" s="19">
      <c r="A16" s="25" t="inlineStr">
        <is>
          <t>MAIL-12</t>
        </is>
      </c>
      <c r="B16" s="26" t="inlineStr">
        <is>
          <t>是</t>
        </is>
      </c>
      <c r="C16" s="27" t="inlineStr">
        <is>
          <t>AT12131 · TC102（客服提及已发货）</t>
        </is>
      </c>
      <c r="D16" s="27" t="inlineStr">
        <is>
          <t>Hi My contractor installed the opener and although the gate opens, it does not stop at the desired location, it moves t…</t>
        </is>
      </c>
      <c r="E16" s="25" t="inlineStr">
        <is>
          <t>错</t>
        </is>
      </c>
      <c r="F16" s="25" t="inlineStr">
        <is>
          <t>小改可发</t>
        </is>
      </c>
      <c r="G16" s="25" t="inlineStr">
        <is>
          <t>配对相关</t>
        </is>
      </c>
      <c r="H16" s="25" t="inlineStr">
        <is>
          <t>不通过</t>
        </is>
      </c>
      <c r="I16" s="27" t="inlineStr">
        <is>
          <t>复合</t>
        </is>
      </c>
      <c r="J16" s="37" t="inlineStr">
        <is>
          <t>[预检] truncated=N · steps=5 · proceed_ref=N · check_step_ref=N · glued=N · type=fault
cs_id=cs_0012
lib=a3s(keyword)
top1=qa_019
top3=qa_019,qa_019,qa_019
top1_hit=MISS
images=image_015.png
style=F1_no_response
--- system reply ---
Dear Customer,
Thank you for contacting TOPENS. This is Heidi from TOPENS Customer Service Team. It will be a pleasure to assist you today.
I am sorry to hear about the trouble with the gate opening too far and not closing completely. I understand how frustrating that can be, but do not worry, we will work through this together. All TOPENS products are backed by a 12-month warranty, so we will do our best to find a solution.
Checked with our engineer, please help us do some tests to find out the problem, so that we can provide corresponding help.
1. Ensure that the wires of the limit switch (BLUE, GREEN, and YELLOW wires of the arm) are not shorted. Confirm that each wire is properly inserted into its corresponding terminal and is not twisted with any other wire.
2. Please readjust the Open Position. The open position is adjusted by Limit Switch B (located far from the motor). Adjust Limit Switch B inward on the arm, then press the remote to open the gate and see if the open position changes. Repeat the operation several times to check if the arm consistently stops at the new position.
3. If it changes, adjust Limit Switch B to the desired open position and tighten the screw.
4. If the problem persists, rotate the Front Mount 180° and test again.
5. If there is still no luck, the limit switch might be defective.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Heidi
TOPENS Customer Service Team</t>
        </is>
      </c>
      <c r="K16" s="25" t="inlineStr">
        <is>
          <t>agent-p0p1p2-2026-07-12 · 2026-07-12 · P0·qa_019∉{qa_020,qa_021}；真缺FORCE/SOFT_STOP/11#12#</t>
        </is>
      </c>
      <c r="L16" s="39" t="inlineStr">
        <is>
          <t>打开 Reference</t>
        </is>
      </c>
    </row>
    <row r="17" ht="15" customHeight="1" s="19">
      <c r="A17" s="25" t="inlineStr">
        <is>
          <t>MAIL-13</t>
        </is>
      </c>
      <c r="B17" s="26" t="inlineStr">
        <is>
          <t>是</t>
        </is>
      </c>
      <c r="C17" s="27" t="inlineStr">
        <is>
          <t>A3S · M12</t>
        </is>
      </c>
      <c r="D17" s="27" t="inlineStr">
        <is>
          <t>Need help this gate opener keeps stopping before opening fully</t>
        </is>
      </c>
      <c r="E17" s="25" t="inlineStr">
        <is>
          <t>对</t>
        </is>
      </c>
      <c r="F17" s="25" t="inlineStr">
        <is>
          <t>直接可发</t>
        </is>
      </c>
      <c r="G17" s="25" t="inlineStr">
        <is>
          <t>无需图</t>
        </is>
      </c>
      <c r="H17" s="25" t="inlineStr">
        <is>
          <t>通过</t>
        </is>
      </c>
      <c r="I17" s="27" t="inlineStr">
        <is>
          <t>—</t>
        </is>
      </c>
      <c r="J17" s="37" t="inlineStr">
        <is>
          <t>[预检] truncated=N · steps=4 · proceed_ref=N · check_step_ref=N · glued=N · type=fault
cs_id=cs_0013
lib=a3s(keyword)
top1=qa_022
top3=qa_022,qa_022,qa_022
top1_hit=OK
images=(无)
style=F4_limit_travel
--- system reply ---
Dear Customer,
Thank you for contacting TOPENS. This is Lori from TOPENS Customer Service Team. It will be a pleasure to assist you today.
I apologize for the inconvenience this issue with your gate opener has caused, but do not worry, we will do our best to help you. All TOPENS products are backed by a 12-month warranty.
Checked with our engineer, please help us do some tests to find out the problem, so that we can provide corresponding help.
1. Please detect the voltage of the +BAT- terminals (11# and 12#) on the control board while pressing the remote to see whether the voltage stays at almost 24V (above 22V). If the voltage drops too much, the problem may be with the power source. If the voltage is fine, please continue to the next test.
2. Please power off the system first (disconnect the power source from the +BAT- terminals). Turn the FORCE potentiometer all the way clockwise to increase the stall force, and turn the SOFT STOP potentiometer all the way counter-clockwise to decrease the soft stop period. Then turn on the power and operate the gate opener through a complete opening and closing cycle. See whether the gate opens and closes all the way on the next cycle.
3. If the problem still persists, push against the gate (in the opposite direction of its movement) while the gate is opening. Continuously add some load and see whether the gate can open all the way properly.
4. If the tests above do not help, please remove the arm from the gate and hold its front mount firmly, then press the remote to see whether the arm can extend and retract properly each time. If the arm runs normally in this test, the arm itself is fine — please let me know the weight and length of your gate, and whether the gate can be opened and closed freely about 3.3 feet (one meter) from the gate hinge.
Please let me know the result of every step. Videos showing the problem and pictures of the whole control board are appreciated for further judgement. You can directly send the video to my E-mail via the attachment. If the sending is not successful, please share the photo or video link through dropbox, icloud or google drive. Also, if you haven't already, kindly provide your shipping address with zip code and phone number in case a replacement part is needed. Thanks for your understanding and cooperation.
Thank you again for being a valued customer! Your complete satisfaction is what we strive for. We at TOPENS are always standing by and ready to help.
Best regards,
Lori
TOPENS Customer Service Team</t>
        </is>
      </c>
      <c r="K17" s="25" t="inlineStr">
        <is>
          <t>agent-p0p1p2-2026-07-12 · 2026-07-12 · P2·qa_022；断电FORCE/SOFT STOP齐</t>
        </is>
      </c>
      <c r="L17" s="39" t="inlineStr">
        <is>
          <t>打开 Reference</t>
        </is>
      </c>
    </row>
    <row r="18" ht="15" customHeight="1" s="19">
      <c r="A18" s="25" t="inlineStr">
        <is>
          <t>MAIL-14</t>
        </is>
      </c>
      <c r="B18" s="26" t="inlineStr">
        <is>
          <t>是</t>
        </is>
      </c>
      <c r="C18" s="27" t="inlineStr">
        <is>
          <t>AT602（dual swing）</t>
        </is>
      </c>
      <c r="D18" s="27" t="inlineStr">
        <is>
          <t>Hi, I bought this gate and since I've bought it I've had issues with constantly having to reset the limits for the gate…</t>
        </is>
      </c>
      <c r="E18" s="25" t="inlineStr">
        <is>
          <t>错</t>
        </is>
      </c>
      <c r="F18" s="25" t="inlineStr">
        <is>
          <t>小改可发</t>
        </is>
      </c>
      <c r="G18" s="25" t="inlineStr">
        <is>
          <t>配对相关</t>
        </is>
      </c>
      <c r="H18" s="25" t="inlineStr">
        <is>
          <t>不通过</t>
        </is>
      </c>
      <c r="I18" s="27" t="inlineStr">
        <is>
          <t>复合</t>
        </is>
      </c>
      <c r="J18" s="37" t="inlineStr">
        <is>
          <t>[预检] truncated=N · steps=4 · proceed_ref=N · check_step_ref=N · glued=N · type=fault
cs_id=cs_0014
lib=a3s(fan_out)
top1=qa_019
top3=qa_019,qa_021,qa_020
images=image_015.png, image_017.png, image_018.png, image_019.png, image_016.png
style=F4_limit_travel
--- system reply ---
Dear Customer,
Thank you for contacting TOPENS. This is Joyce from TOPENS Customer Service Team. It will be a pleasure to assist you today.
I am sorry to hear about the ongoing issues with the limits, but do not worry, we will do our best to help you. All TOPENS products are backed by a 12-month warranty.
Checked with our engineer, please help us do some tests to find out the problem, so that we can provide corresponding help.
1. First, please ensure that the wires of the limit switch (BLUE, GREEN, and YELLOW wires of the arm) are not shorted. Confirm that each wire is properly inserted into its corresponding terminal on the control board and is not twisted with any other wire.
2. Please readjust the Open Position. The open position is adjusted by Limit Switch B (located far from the motor). Adjust Limit Switch B inward on the arm, then press the remote to open the gate and see if the open position changes. Repeat the operation several times to check if the arm consistently stops at the new position.
3. If it changes, adjust Limit Switch B to the desired open position and tighten the screw.
4. If the problem persists, rotate the Front Mount 180° and test again.
If there is still no luck, the limit switch might be defective.
Please let me know the result of every step. Videos showing the problem and pictures of the whole control board are appreciated for further judgement. You can directly send the video to my E-mail via the attachment. If the sending is not successful, please share the photo or video link through dropbox, icloud or google drive. Thanks for your understanding and cooperation.
Thank you again for being a valued customer! Your complete satisfaction is what we strive for. We at TOPENS are always standing by and ready to help.
Best regards,
Joyce
TOPENS Customer Service Team</t>
        </is>
      </c>
      <c r="K18" s="25" t="inlineStr">
        <is>
          <t>agent-p0p1p2-2026-07-12 · 2026-07-12 · P0/P1·应qa_018磁环路径；qa_019限位 playbook偏</t>
        </is>
      </c>
      <c r="L18" s="39" t="inlineStr">
        <is>
          <t>打开 Reference</t>
        </is>
      </c>
    </row>
    <row r="19" ht="15" customHeight="1" s="19">
      <c r="A19" s="25" t="inlineStr">
        <is>
          <t>MAIL-15</t>
        </is>
      </c>
      <c r="B19" s="26" t="inlineStr">
        <is>
          <t>是</t>
        </is>
      </c>
      <c r="C19" s="27" t="inlineStr">
        <is>
          <t>AD8S（dual swing）</t>
        </is>
      </c>
      <c r="D19" s="27" t="inlineStr">
        <is>
          <t>CC:Dan Hi Zack— First of all, hugely helpful. Once we powered down first before moving the pot, we were able to get a g…</t>
        </is>
      </c>
      <c r="E19" s="25" t="inlineStr">
        <is>
          <t>对</t>
        </is>
      </c>
      <c r="F19" s="25" t="inlineStr">
        <is>
          <t>直接可发</t>
        </is>
      </c>
      <c r="G19" s="25" t="inlineStr">
        <is>
          <t>无需图</t>
        </is>
      </c>
      <c r="H19" s="25" t="inlineStr">
        <is>
          <t>通过</t>
        </is>
      </c>
      <c r="I19" s="27" t="inlineStr">
        <is>
          <t>—</t>
        </is>
      </c>
      <c r="J19" s="37" t="inlineStr">
        <is>
          <t>[预检] truncated=N · steps=4 · proceed_ref=N · check_step_ref=N · glued=N · type=fault
cs_id=cs_0015
lib=ad5s(keyword)
top1=qa_040
top3=qa_040,qa_040,qa_040
top1_hit=OK
images=(无)
style=F6_auto_close_rebound
--- system reply ---
Dear Tim,
Thank you for contacting TOPENS. This is Joyce from TOPENS Customer Service Team. It will be a pleasure to assist you today.
I'm sorry to hear about the reversing issue you're experiencing with your gate, especially after getting the delay dialed in. I understand how frustrating that can be. Do not worry, we will do our best to help you. All TOPENS products are backed by a 12-month warranty.
Checked with our engineer, please help us do some tests to find out the problem, so that we can provide corresponding help.
1. Please double check all the brackets and hardware of the arm (including the screw of the limit switch) are secured since the looseness of the brackets or limit switch may also cause this issue.
2. Power off the system, turn the FORCE potentiometer clockwise to increase the stall force to max. Then turn on the power and operate the gate opener to run for a complete opening &amp; closing cycle. See whether the gate will open and close normally in the next opening and closing cycle.
3. If the issue is still unresolved, please use the release key to disengage the clutches of both arms, and check whether the gate itself can be manually opened &amp;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kindly let us know the results of each step one by one so that we can better determine the problem. Video showing the problem would be greatly appreciated. If the sending is not successful, please share the photo or video link through dropbox, icloud or google drive. Please also confirm your shipping address with zip code and phone number in case a replacement is needed later.
Thank you once again for being a valued customer! Your complete satisfaction is what we strive for. We at TOPENS are always standing by and ready to help.
Best regards,
Joyce
TOPENS Customer Service Team</t>
        </is>
      </c>
      <c r="K19" s="25" t="inlineStr">
        <is>
          <t>agent-p0p1p2-2026-07-12 · 2026-07-12 · P2·Power off→FORCE max 四步对齐</t>
        </is>
      </c>
      <c r="L19" s="39" t="inlineStr">
        <is>
          <t>打开 Reference</t>
        </is>
      </c>
    </row>
    <row r="20" ht="15" customHeight="1" s="19">
      <c r="A20" s="25" t="inlineStr">
        <is>
          <t>MAIL-16</t>
        </is>
      </c>
      <c r="B20" s="26" t="inlineStr">
        <is>
          <t>是</t>
        </is>
      </c>
      <c r="C20" s="27" t="inlineStr">
        <is>
          <t>PW802（dual swing · DPS180-U）</t>
        </is>
      </c>
      <c r="D20" s="27" t="inlineStr">
        <is>
          <t>I installed, everything worked, now a red lightis flashlight and it won't work. Please call me ASAP. Allen ***-***-****…</t>
        </is>
      </c>
      <c r="E20" s="25" t="inlineStr">
        <is>
          <t>对</t>
        </is>
      </c>
      <c r="F20" s="25" t="inlineStr">
        <is>
          <t>小改可发</t>
        </is>
      </c>
      <c r="G20" s="25" t="inlineStr">
        <is>
          <t>配对相关</t>
        </is>
      </c>
      <c r="H20" s="25" t="inlineStr">
        <is>
          <t>不通过</t>
        </is>
      </c>
      <c r="I20" s="27" t="inlineStr">
        <is>
          <t>生成</t>
        </is>
      </c>
      <c r="J20" s="37" t="inlineStr">
        <is>
          <t>[预检] truncated=N · steps=3 · proceed_ref=N · check_step_ref=N · glued=N · type=fault
cs_id=cs_0016
lib=ad5s(keyword)
top1=qa_001
top3=qa_001,qa_013,qa_001
top1_hit=OK
images=image_001.png
style=F2_tc148_wired
--- system reply ---
Dear Allen,
Thank you for contacting TOPENS. This is Joyce from TOPENS Customer Service Team. It will be a pleasure to assist you today.
I apologize for the inconvenience, but do not worry, we will do our best to help you. All TOPENS products are backed by a 12-month warranty.
Checked with our engineer, please help us do some tests to find out the problem, so that we can provide corresponding help.
1. Please check all the wires are connected securely as they should be.
2. Measure the voltage of the +BAT- terminals (11# and 12#) on the control board to see whether it is above 22V. If the voltage is normal, please check whether the power LED on the control board is ON (blinks twice per second). If it is off, check the fuse to see if it was burnt out and replace the fuse if necessary. There is a backup fuse packed within the user manual pack, the fuse type is ∅5*20mm 10A 250VAC fast blow glass fuse. If the voltage is below 22V, please check whether the output voltage of the adapter is 36VDC. If so, disconnect the batteries from the control board and measure the output voltage of the batteries to see whether it is above DC 22V. If the voltage of the batteries is also below 22V, please keep the batteries charged fully to try it again.
3. Ensure the batteries are properly connected to the BAT terminal of the control board, and verify that the wire connections are secure. Please note that two 12VDC batteries are required to power the gate opener. The included adapter is only intended for charging the batteries, not for directly powering the gate opener.
Please let me know the result one by one. It would also be helpful if you could provide a video or photos of the control board showing the wiring and LED status.
And also please reply with your specific SHIPPING ADDRESS with zip code and confirm your PHONE # available for further assistance.
Thank you again for being a valued customer! Your complete satisfaction is what we strive for. We at TOPENS are always standing by and ready to help.
Best regards,
Joyce
TOPENS Customer Service Team</t>
        </is>
      </c>
      <c r="K20" s="25" t="inlineStr">
        <is>
          <t>agent-p0p1p2-2026-07-12 · 2026-07-12 · P0·ref_keys假阳性；真缺DIP#5/4#5#/单臂测；image_001 fuse OK</t>
        </is>
      </c>
      <c r="L20" s="39" t="inlineStr">
        <is>
          <t>打开 Reference</t>
        </is>
      </c>
    </row>
    <row r="21" ht="15" customHeight="1" s="19">
      <c r="A21" s="25" t="inlineStr">
        <is>
          <t>MAIL-17</t>
        </is>
      </c>
      <c r="B21" s="26" t="inlineStr">
        <is>
          <t>是</t>
        </is>
      </c>
      <c r="C21" s="27" t="inlineStr">
        <is>
          <t>A5131 · UPS01 · M12</t>
        </is>
      </c>
      <c r="D21" s="27" t="inlineStr">
        <is>
          <t>Good evening: Our gate arm has messed up again. We have done all the previous troubleshooting and it does the exact thi…</t>
        </is>
      </c>
      <c r="E21" s="25" t="inlineStr">
        <is>
          <t>对</t>
        </is>
      </c>
      <c r="F21" s="25" t="inlineStr">
        <is>
          <t>小改可发</t>
        </is>
      </c>
      <c r="G21" s="25" t="inlineStr">
        <is>
          <t>配对相关</t>
        </is>
      </c>
      <c r="H21" s="25" t="inlineStr">
        <is>
          <t>不通过</t>
        </is>
      </c>
      <c r="I21" s="27" t="inlineStr">
        <is>
          <t>生成</t>
        </is>
      </c>
      <c r="J21" s="37" t="inlineStr">
        <is>
          <t>[预检] truncated=N · steps=4 · proceed_ref=N · check_step_ref=N · glued=N · type=fault
cs_id=cs_0017
lib=a3s(keyword)
top1=qa_033
top3=qa_033,qa_033,qa_033
top1_hit=OK
images=image_019.png
style=F8_warranty_rma
--- system reply ---
Dear Customer,
Thank you for contacting TOPENS. This is Lori from TOPENS Customer Service Team. It will be a pleasure to assist you today.
I'm very sorry to hear your gate opener has stopped working again. We understand how frustrating that must be. All TOPENS products are backed by a 12-month warranty, so your purchase from June 2025 is still covered. My husband is right that an arm replacement might be needed, but let's run through these tests first so we can pinpoint the exact fault and provide the correct solution.
I know you've done these tests before. Could you please try this procedure again step by step? Checked with our engineer, please help us do some tests to find out the problem, so that we can provide corresponding help.
1. Please release the clutch and push the gate to the middle position. Then try pressing the remote to see if the gate can run in both directions.
2. Disconnect all wired accessories from the control board, leaving only the power source and the arm connected. Disable the photocell function by turning off DIP Switch 3#. Then press the remote again to see if it works properly. If the problem disappears, reconnect each accessory one by one to identify which one causes the issue.
3. Please check the motor. Disconnect the red and black wires of the arm from the control board and connect them directly to a DC 24V power source. The motor should run. Then exchange the polarity of the wires—the motor should run in the opposite direction. If the motor runs in both directions, the motor itself is good. Please reconnect the black and red wires back to the control board afterward.
4. Disconnect the BLUE, GREEN and YELLOW wires of the faulty arm from the control board. Use two jumper wires to short the ULMT, COM and DLMT terminals where those wires were connected. Press the remote to see if the arm can extend and retract. If it can move in both directions, the limit switch is defective. Please press the remote carefully and in time to prevent the arm from extending too much during this test.
Please let me know the results of each step one by one. It would also be very helpful if you could take a short video of your control board while testing and share some clear photos of the wiring. If the files are too large to attach, you can share them via Google Drive, Dropbox or iCloud.
Please also reply with your current shipping address (including zip code) and phone number so we can be ready to assist you further, including a replacement if needed.
Thank you again for being a valued customer! Your complete satisfaction is what we strive for. We at TOPENS are always standing by and ready to help.
Best regards,
Lori
TOPENS Customer Service Team</t>
        </is>
      </c>
      <c r="K21" s="25" t="inlineStr">
        <is>
          <t>agent-p0p1p2-2026-07-12 · 2026-07-12 · P2·100%窄词表假阳性；缺fuse/4#5#/11#12#；image_019限位短接OK</t>
        </is>
      </c>
      <c r="L21" s="39" t="inlineStr">
        <is>
          <t>打开 Reference</t>
        </is>
      </c>
    </row>
    <row r="22" ht="15" customHeight="1" s="19">
      <c r="A22" s="25" t="inlineStr">
        <is>
          <t>MAIL-18</t>
        </is>
      </c>
      <c r="B22" s="26" t="inlineStr">
        <is>
          <t>是</t>
        </is>
      </c>
      <c r="C22" s="27" t="inlineStr">
        <is>
          <t>A5 / A8（表单写作 A5/A8）</t>
        </is>
      </c>
      <c r="D22" s="27" t="inlineStr">
        <is>
          <t>I have batteries and AC adapter installed. I'm not getting anything to work. Please call me</t>
        </is>
      </c>
      <c r="E22" s="25" t="inlineStr">
        <is>
          <t>对</t>
        </is>
      </c>
      <c r="F22" s="25" t="inlineStr">
        <is>
          <t>小改可发</t>
        </is>
      </c>
      <c r="G22" s="25" t="inlineStr">
        <is>
          <t>配对相关</t>
        </is>
      </c>
      <c r="H22" s="25" t="inlineStr">
        <is>
          <t>不通过</t>
        </is>
      </c>
      <c r="I22" s="27" t="inlineStr">
        <is>
          <t>生成</t>
        </is>
      </c>
      <c r="J22" s="37" t="inlineStr">
        <is>
          <t>[预检] truncated=N · steps=3 · proceed_ref=N · check_step_ref=N · glued=N · type=fault
cs_id=cs_0018
lib=a3s(keyword)
top1=qa_001
top3=qa_001,qa_014,qa_001
top1_hit=OK
images=image_001.png
style=F2_tc148_wired
--- system reply ---
Dear Customer,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Please check all the wires are connected as they should be. Then, measure the voltage of the +BAT- terminals (11# and 12#) on the control board to see whether it is above 22V.
2. If the voltage is normal, please check whether the power led on the control board is ON (blinks twice per second). If it is off, check the fuse to see whether it was burnt out and replace the fuse if necessary. There is a backup fuse packed within the user manual pack. The fuse type is ∅5*20mm 5A 250VAC fast blow glass fuse.
3. If the voltage is below 22V, please check whether the output voltage of the adapter is 36VDC. If so, disconnect the batteries from the control board and measure the output voltage of the batteries to see whether it is above DC 22V. If the voltage of the batteries is also below 22V, please keep the batteries charged fully to try it again. If it still cannot work, please check the batteries. Kindly note that a 24V 12Ah battery (or 2pcs 12V batteries connected in series may function as 24V) is required to power the gate opener.
Looking forward to the result after you finish the troubleshooting.
Please let me know the result one by one. Also, please reply with your specific SHIPPING ADDRESS with zip code and confirm your PHONE # available for further assistance.
Thank you again for being a valued customer! Your complete satisfaction is what we strive for. We at TOPENS are always standing by and ready to help.
Best regards,
Joyce
TOPENS Customer Service Team</t>
        </is>
      </c>
      <c r="K22" s="25" t="inlineStr">
        <is>
          <t>agent-p0p1p2-2026-07-12 · 2026-07-12 · 缺DIP#3/限位短接等</t>
        </is>
      </c>
      <c r="L22" s="39" t="inlineStr">
        <is>
          <t>打开 Reference</t>
        </is>
      </c>
    </row>
    <row r="23" ht="15" customHeight="1" s="19">
      <c r="A23" s="25" t="inlineStr">
        <is>
          <t>MAIL-19</t>
        </is>
      </c>
      <c r="B23" s="26" t="inlineStr">
        <is>
          <t>是</t>
        </is>
      </c>
      <c r="C23" s="27" t="inlineStr">
        <is>
          <t>AD5S dual solar · ground sensor · M12 remote</t>
        </is>
      </c>
      <c r="D23" s="27" t="inlineStr">
        <is>
          <t>Gate is opening at first open hard turned down force to almost nothing . Open to far gets binded. Sometimes doesn't clo…</t>
        </is>
      </c>
      <c r="E23" s="25" t="inlineStr">
        <is>
          <t>错</t>
        </is>
      </c>
      <c r="F23" s="25" t="inlineStr">
        <is>
          <t>小改可发</t>
        </is>
      </c>
      <c r="G23" s="25" t="inlineStr">
        <is>
          <t>无需图</t>
        </is>
      </c>
      <c r="H23" s="25" t="inlineStr">
        <is>
          <t>不通过</t>
        </is>
      </c>
      <c r="I23" s="27" t="inlineStr">
        <is>
          <t>复合</t>
        </is>
      </c>
      <c r="J23" s="37" t="inlineStr">
        <is>
          <t>[预检] truncated=N · steps=4 · proceed_ref=N · check_step_ref=N · glued=N · type=fault
cs_id=cs_0019
lib=ad5s(keyword)
top1=qa_015
top3=qa_015,qa_015,qa_040
top1_hit=MISS
images=(无)
style=F1_no_response
--- system reply ---
Dear Customer,
Thank you for contacting TOPENS. This is Joyce from TOPENS Customer Service Team. It will be a pleasure to assist you today.
I'm sorry to hear about the issues you're experiencing with the gate binding, not closing reliably, and the remote programming difficulties. I also understand that one of the arms has bent the gate bracket due to pressure, which must be frustrating. Please know that all TOPENS products are backed by a 12-month warranty, and we will do our best to get this sorted out for you.
Checked with our engineer, please help us do some tests to find out the problem, so that we can provide corresponding help.
1. Since the gate has been binding and the force was turned down, please release the clutch on both arms first and push the gate to the middle position. This will help reset the travel. Then try operating it again with the remote to see if the gate can run in both directions. If the problem still persists, please continue with the following steps.
2. Disconnect all wired accessories from the control board (just leave the power source and the arms connected) and disable the photocell function by turning the dip switch #5 off. Ensure that the jumper wire connected between the EDGE and GND (terminal #7 &amp; #8) is securely fastened. Then press the remote again to see whether it can work properly. If the problem disappears, reconnect each accessory one by one to identify which one causes the problem. If the problem persists, please continue.
3. Double check all the brackets and hardware of the arms, including the screws of the limit switches, to make sure everything is tightly secured. Loose brackets or limit switches can often cause erratic behavior. Since you mentioned the bracket is already bent from the force, please inspect it closely and let us know its condition.
4. Power off the system, then turn the FORCE potentiometer clockwise to increase the stall force to the maximum. Turn the power back on and operate the gate opener to run a complete opening and closing cycle to see if it operates normally in the next try.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For the bent bracket and any possible replacement parts, please reply with your specific SHIPPING ADDRESS with zip code and confirm a PHONE # available for further assistance.
Thank you again for being a valued customer! Your complete satisfaction is what we strive for. We at TOPENS are always standing by and ready to help.
Best regards,
Joyce
TOPENS Customer Service Team</t>
        </is>
      </c>
      <c r="K23" s="25" t="inlineStr">
        <is>
          <t>agent-p0p1p2-2026-07-12 · 2026-07-12 · P0·qa_015∉acceptable；真缺limit B/遥控学码</t>
        </is>
      </c>
      <c r="L23" s="39" t="inlineStr">
        <is>
          <t>打开 Reference</t>
        </is>
      </c>
    </row>
    <row r="24" ht="15" customHeight="1" s="19">
      <c r="A24" s="25" t="inlineStr">
        <is>
          <t>MAIL-20</t>
        </is>
      </c>
      <c r="B24" s="26" t="inlineStr">
        <is>
          <t>是</t>
        </is>
      </c>
      <c r="C24" s="27" t="inlineStr">
        <is>
          <t>AT1202（表单写作 A1202）· dual swing</t>
        </is>
      </c>
      <c r="D24" s="27" t="inlineStr">
        <is>
          <t>Hi! I installed my two AT 1202 gate-opener successfully but the gate does not stay closed. Right after closing it opens…</t>
        </is>
      </c>
      <c r="E24" s="25" t="inlineStr">
        <is>
          <t>对</t>
        </is>
      </c>
      <c r="F24" s="25" t="inlineStr">
        <is>
          <t>小改可发</t>
        </is>
      </c>
      <c r="G24" s="25" t="inlineStr">
        <is>
          <t>无需图</t>
        </is>
      </c>
      <c r="H24" s="25" t="inlineStr">
        <is>
          <t>不通过</t>
        </is>
      </c>
      <c r="I24" s="27" t="inlineStr">
        <is>
          <t>生成</t>
        </is>
      </c>
      <c r="J24" s="37" t="inlineStr">
        <is>
          <t>[预检] truncated=N · steps=4 · proceed_ref=N · check_step_ref=N · glued=N · type=fault
cs_id=cs_0020
lib=ad5s(fan_out)
top1=qa_040
top3=qa_040,qa_040,qa_040
images=(无)
style=F5_dual_swing
--- system reply ---
Dear Rainer,
Thank you for contacting TOPENS. This is Joyce from TOPENS Customer Service Team. It will be a pleasure to assist you today.
I apologize for any inconvenience this may have caused, but do not worry, we will do our best to help you. All TOPENS products are backed by a 12-month warranty.
Checked with our engineer, please help us do some tests to find out the problem, so that we can provide corresponding help.
1. Please double check all the brackets and hardware of the arm (including the screw of the limit switch) are secured since the looseness of the brackets or limit switch may also cause this issue.
2. Power off the system, turn the FORCE potentiometer clockwise to increase the stall force to max. Then turn on the power and operate the gate opener to run for a complete opening &amp; closing cycle. See whether the gate will open and close normally in the next opening and closing cycle.
3. If the issue is still unresolved, please use the release key to disengage the clutches of both arms, and check whether the gate itself can be manually opened &amp;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Thank you again for being a valued customer! Your complete satisfaction is what we strive for. We at TOPENS are always standing by and ready to help.
Best regards,
Joyce
TOPENS Customer Service Team</t>
        </is>
      </c>
      <c r="K24" s="25" t="inlineStr">
        <is>
          <t>agent-p0p1p2-2026-07-12 · 2026-07-12 · P1①对·ad5s；top1=qa_040同窗≠qa_016；真缺limit B重确认</t>
        </is>
      </c>
      <c r="L24" s="39" t="inlineStr">
        <is>
          <t>打开 Reference</t>
        </is>
      </c>
    </row>
    <row r="25" ht="15" customHeight="1" s="19">
      <c r="A25" s="25" t="inlineStr">
        <is>
          <t>MAIL-21</t>
        </is>
      </c>
      <c r="B25" s="26" t="inlineStr">
        <is>
          <t>是</t>
        </is>
      </c>
      <c r="C25" s="27" t="inlineStr">
        <is>
          <t>A8132 dual swing · TC188 keypad</t>
        </is>
      </c>
      <c r="D25" s="27" t="inlineStr">
        <is>
          <t>The motherboard has power receives signal from fob , lights blink , a click noise , but the arms won't open or close. C…</t>
        </is>
      </c>
      <c r="E25" s="25" t="inlineStr">
        <is>
          <t>错</t>
        </is>
      </c>
      <c r="F25" s="25" t="inlineStr">
        <is>
          <t>小改可发</t>
        </is>
      </c>
      <c r="G25" s="25" t="inlineStr">
        <is>
          <t>配对相关</t>
        </is>
      </c>
      <c r="H25" s="25" t="inlineStr">
        <is>
          <t>不通过</t>
        </is>
      </c>
      <c r="I25" s="27" t="inlineStr">
        <is>
          <t>复合</t>
        </is>
      </c>
      <c r="J25" s="37" t="inlineStr">
        <is>
          <t>[预检] truncated=N · steps=4 · proceed_ref=N · check_step_ref=N · glued=N · type=fault
cs_id=cs_0021
lib=a3s(keyword)
top1=qa_033
top3=qa_033,qa_033,qa_033
top1_hit=MISS
images=image_019.png
style=F1_no_response
--- system reply ---
Dear Customer,
Thank you for contacting TOPENS. This is Joyce from TOPENS Customer Service Team. It will be a pleasure to assist you today.
I apologize for any inconvenience this may have caused, but do not worry, we will do our best to help you.
Checked with our engineer, please help us do some tests to find out the problem, so that we can provide corresponding help.
1. Please release the clutch and push the gate to the middle position firstly. And then try it again by pressing the remote to see whether the gate can run towards both directions. If the problem still persists, please do the following tests.
2. Disconnect all wired accessories from the control board first (just leave the power source and the arm) and disable the photocell function by turning off DIP Switch 3#. Then press the remote again to see whether it can work properly. If the problem persists, please do step 3. If the problem disappears, reconnect each accessory one by one to identify which one causes the problem. If a photocell sensor is used, please double check the installation of the photocell, and make sure the photocell sensor beam is aligned and not blocked.
3. Please check the motor. Connect the red &amp; black wires of the arm to the DC 24V power source directly, the motor should run, and then exchange the polarity of the wires, the motor should run in the opposite direction. If the motor runs in both directions, the motor itself is good. Please connect the black &amp; red wires back to the control board and  If so, please continue with the next step below..
4. Disconnect the BLUE, GREEN &amp; YELLOW wires of the faulty arm from the control board, use two jumper wires to short the ULT, COM &amp; DLT terminals to which the wires were connected, and then press the remote to see if the arm could extend and retract. If it could move in both directions, then the limit switch is defective. When you do this test, you could press the remote in time in case the arm extends too much.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All TOPENS products are backed by a 12-month warranty.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Joyce
TOPENS Customer Service Team</t>
        </is>
      </c>
      <c r="K25" s="25" t="inlineStr">
        <is>
          <t>agent-p0p1p2-2026-07-12 · 2026-07-12 · P0·qa_033≠qa_001；真缺11#/12#+4#5# instant short</t>
        </is>
      </c>
      <c r="L25" s="39" t="inlineStr">
        <is>
          <t>打开 Reference</t>
        </is>
      </c>
    </row>
    <row r="26" ht="15" customHeight="1" s="19">
      <c r="A26" s="25" t="inlineStr">
        <is>
          <t>MAIL-22</t>
        </is>
      </c>
      <c r="B26" s="26" t="inlineStr">
        <is>
          <t>是</t>
        </is>
      </c>
      <c r="C26" s="27" t="inlineStr">
        <is>
          <t>A5132（dual swing）</t>
        </is>
      </c>
      <c r="D26" s="27" t="inlineStr">
        <is>
          <t>Just recently my gate started acting differently. The left panel - furthest from the controller - seems to open and rea…</t>
        </is>
      </c>
      <c r="E26" s="25" t="inlineStr">
        <is>
          <t>对</t>
        </is>
      </c>
      <c r="F26" s="25" t="inlineStr">
        <is>
          <t>小改可发</t>
        </is>
      </c>
      <c r="G26" s="25" t="inlineStr">
        <is>
          <t>无需图</t>
        </is>
      </c>
      <c r="H26" s="25" t="inlineStr">
        <is>
          <t>不通过</t>
        </is>
      </c>
      <c r="I26" s="27" t="inlineStr">
        <is>
          <t>生成</t>
        </is>
      </c>
      <c r="J26" s="37" t="inlineStr">
        <is>
          <t>[预检] truncated=N · steps=4 · proceed_ref=N · check_step_ref=N · glued=N · type=fault
cs_id=cs_0022
lib=ad5s(keyword)
top1=qa_040
top3=qa_040,qa_040,qa_040
images=(无)
style=F1_no_response
--- system reply ---
Dear Customer,
Thank you for contacting TOPENS. This is Heidi from TOPENS Customer Service Team. It will be a pleasure to assist you today.
I'm sorry to hear your gate has started behaving differently—stopping and reversing unexpectedly can certainly be frustrating. Don't worry, we'll work through this together. All TOPENS products are backed by a 12-month warranty, so we'll make sure you get the right support.
Checked with our engineer, please help us do some tests to find out the problem, so that we can provide corresponding help.
1. Please double check all the brackets and hardware of the arm (including the screw of the limit switch) are secured since the looseness of the brackets or limit switch may also cause this issue.
2. Power off the system, turn the FORCE potentiometer clockwise to increase the stall force to max. Then turn on the power and operate the gate opener to run for a complete opening &amp; closing cycle. See whether the gate will open and close normally in the next opening and closing cycle.
3. If the issue is still unresolved, please use the release key to disengage the clutches of both arms, and check whether the gate itself can be manually opened &amp; closed freely 3.3 feet (one meter) away from the gate hinge. If not, please let me know the weight and length of your gate and double check the gate to make sure the gate can run freely by hand.
4. If the above step is fine, please take down the arm from the gate and hold its front mount with a hand. Then press the remote to see if the arm can extend and retract properly each time.
Please let me know the result one by one.
Videos showing the problem and pictures of the whole control board are much appreciated for further judgement. You can directly send the video to my E-mail via the attachment. If the sending is not successful, please share the photo or video link through dropbox, icloud or google drive. Thanks for your understanding and cooperation.
And also please reply your specific SHIPPING ADDRESS with zip code and confirm PHONE # available for further assistance.
Thank you again for being a valued customer! Your complete satisfaction is what we strive for. We at TOPENS are always standing by and ready to help.
Best regards,
Heidi
TOPENS Customer Service Team</t>
        </is>
      </c>
      <c r="K26" s="25" t="inlineStr">
        <is>
          <t>agent-p0p1p2-2026-07-12 · 2026-07-12 · P0/P1·qa_040∈expected；真缺limit A/单臂隔离</t>
        </is>
      </c>
      <c r="L26" s="39" t="inlineStr">
        <is>
          <t>打开 Reference</t>
        </is>
      </c>
    </row>
    <row r="28" ht="15" customHeight="1" s="19">
      <c r="A28" s="31" t="inlineStr">
        <is>
          <t>汇总</t>
        </is>
      </c>
    </row>
    <row r="29" ht="15" customHeight="1" s="19">
      <c r="A29" s="32" t="inlineStr">
        <is>
          <t>【22封全量·参考】通过数</t>
        </is>
      </c>
      <c r="B29" s="33" t="n"/>
      <c r="C29" s="33" t="n"/>
      <c r="D29" s="33" t="n"/>
      <c r="E29" s="33" t="n"/>
      <c r="F29" s="33" t="n"/>
      <c r="G29" s="34">
        <f>COUNTIF(H5:H26,"通过")</f>
        <v/>
      </c>
    </row>
    <row r="30" ht="15" customHeight="1" s="19">
      <c r="A30" s="32" t="inlineStr">
        <is>
          <t>【22封全量·参考】通过率</t>
        </is>
      </c>
      <c r="B30" s="33" t="n"/>
      <c r="C30" s="33" t="n"/>
      <c r="D30" s="33" t="n"/>
      <c r="E30" s="33" t="n"/>
      <c r="F30" s="33" t="n"/>
      <c r="G30" s="35">
        <f>IFERROR(COUNTIF(H5:H26,"通过")/(COUNTIF(H5:H26,"通过")+COUNTIF(H5:H26,"不通过")),"")</f>
        <v/>
      </c>
    </row>
    <row r="32" ht="15" customHeight="1" s="19">
      <c r="A32" s="36" t="inlineStr">
        <is>
          <t>【19封MVP·§2.3判据】计入邮件数</t>
        </is>
      </c>
      <c r="B32" s="33" t="n"/>
      <c r="C32" s="33" t="n"/>
      <c r="D32" s="33" t="n"/>
      <c r="E32" s="33" t="n"/>
      <c r="F32" s="33" t="n"/>
      <c r="G32" s="34">
        <f>COUNTIF(B5:B26,"是")</f>
        <v/>
      </c>
    </row>
    <row r="33" ht="15" customHeight="1" s="19">
      <c r="A33" s="36" t="inlineStr">
        <is>
          <t>【19封MVP·§2.3判据】通过数</t>
        </is>
      </c>
      <c r="B33" s="33" t="n"/>
      <c r="C33" s="33" t="n"/>
      <c r="D33" s="33" t="n"/>
      <c r="E33" s="33" t="n"/>
      <c r="F33" s="33" t="n"/>
      <c r="G33" s="34">
        <f>SUMPRODUCT((B5:B26="是")*(H5:H26="通过"))</f>
        <v/>
      </c>
    </row>
    <row r="34" ht="15" customHeight="1" s="19">
      <c r="A34" s="36" t="inlineStr">
        <is>
          <t>【19封MVP·§2.3判据】不通过数</t>
        </is>
      </c>
      <c r="B34" s="33" t="n"/>
      <c r="C34" s="33" t="n"/>
      <c r="D34" s="33" t="n"/>
      <c r="E34" s="33" t="n"/>
      <c r="F34" s="33" t="n"/>
      <c r="G34" s="34">
        <f>SUMPRODUCT((B5:B26="是")*(H5:H26="不通过"))</f>
        <v/>
      </c>
    </row>
    <row r="35" ht="15" customHeight="1" s="19">
      <c r="A35" s="36" t="inlineStr">
        <is>
          <t>【19封MVP·§2.3判据】严格④通过率（目标≥16/19≈84.2%）</t>
        </is>
      </c>
      <c r="B35" s="33" t="n"/>
      <c r="C35" s="33" t="n"/>
      <c r="D35" s="33" t="n"/>
      <c r="E35" s="33" t="n"/>
      <c r="F35" s="33" t="n"/>
      <c r="G35" s="35">
        <f>IFERROR(SUMPRODUCT((B5:B26="是")*(H5:H26="通过"))/(SUMPRODUCT((B5:B26="是")*(H5:H26="通过"))+SUMPRODUCT((B5:B26="是")*(H5:H26="不通过"))),"")</f>
        <v/>
      </c>
    </row>
    <row r="37" ht="15" customHeight="1" s="19">
      <c r="A37" s="32" t="inlineStr">
        <is>
          <t>① 机型命中率（19封内）</t>
        </is>
      </c>
      <c r="B37" s="33" t="n"/>
      <c r="C37" s="33" t="n"/>
      <c r="D37" s="33" t="n"/>
      <c r="E37" s="33" t="n"/>
      <c r="F37" s="33" t="n"/>
      <c r="G37" s="35">
        <f>IFERROR(SUMPRODUCT((B5:B26="是")*(E5:E26="对"))/(SUMPRODUCT((B5:B26="是")*(E5:E26="对"))+SUMPRODUCT((B5:B26="是")*(E5:E26="错"))),"")</f>
        <v/>
      </c>
    </row>
    <row r="38" ht="15" customHeight="1" s="19">
      <c r="A38" s="32" t="inlineStr">
        <is>
          <t>② 直接可发比例（19封内）</t>
        </is>
      </c>
      <c r="B38" s="33" t="n"/>
      <c r="C38" s="33" t="n"/>
      <c r="D38" s="33" t="n"/>
      <c r="E38" s="33" t="n"/>
      <c r="F38" s="33" t="n"/>
      <c r="G38" s="35">
        <f>IFERROR(SUMPRODUCT((B5:B26="是")*(F5:F26="直接可发"))/SUMPRODUCT((B5:B26="是")*(F5:F26&lt;&gt;"")),"")</f>
        <v/>
      </c>
    </row>
    <row r="39" ht="15" customHeight="1" s="19">
      <c r="A39" s="32" t="inlineStr">
        <is>
          <t>③ 图片配对相关比例（19封内，剔除无需图）</t>
        </is>
      </c>
      <c r="B39" s="33" t="n"/>
      <c r="C39" s="33" t="n"/>
      <c r="D39" s="33" t="n"/>
      <c r="E39" s="33" t="n"/>
      <c r="F39" s="33" t="n"/>
      <c r="G39" s="35">
        <f>IFERROR(SUMPRODUCT((B5:B26="是")*(G5:G26="配对相关"))/(SUMPRODUCT((B5:B26="是")*(G5:G26&lt;&gt;""))-SUMPRODUCT((B5:B26="是")*(G5:G26="无需图"))),"")</f>
        <v/>
      </c>
    </row>
    <row r="41" ht="15" customHeight="1" s="19">
      <c r="A41" s="23" t="inlineStr">
        <is>
          <t>判据来源：cs_client_requirement_standard.md §2.3/§5.5 —— 19 封 MVP（排除 TC148 3 封）严格④通过率 ≥16/19 才算发链达标；22 封全量数字仅供参考对照，不作为对殷主管的判据。</t>
        </is>
      </c>
    </row>
    <row r="42" ht="15" customHeight="1" s="19">
      <c r="A42" s="23" t="inlineStr">
        <is>
          <t>提示：「计入MVP19」列请照抄 cs_22mail_eval_round0.json 的 mvp19 字段；③ 打分对照 json 的 images_used / generated_reply_en。</t>
        </is>
      </c>
    </row>
  </sheetData>
  <mergeCells count="14">
    <mergeCell ref="A38:F38"/>
    <mergeCell ref="A28:C28"/>
    <mergeCell ref="A33:F33"/>
    <mergeCell ref="A37:F37"/>
    <mergeCell ref="A32:F32"/>
    <mergeCell ref="A41:K41"/>
    <mergeCell ref="A2:K2"/>
    <mergeCell ref="A34:F34"/>
    <mergeCell ref="A35:F35"/>
    <mergeCell ref="A42:K42"/>
    <mergeCell ref="A30:F30"/>
    <mergeCell ref="A39:F39"/>
    <mergeCell ref="A1:K1"/>
    <mergeCell ref="A29:F29"/>
  </mergeCells>
  <conditionalFormatting sqref="H5:H26">
    <cfRule type="cellIs" rank="0" priority="2" equalAverage="0" operator="equal" aboveAverage="0" dxfId="0" text="" percent="0" bottom="0">
      <formula>"通过"</formula>
    </cfRule>
    <cfRule type="cellIs" rank="0" priority="3" equalAverage="0" operator="equal" aboveAverage="0" dxfId="1" text="" percent="0" bottom="0">
      <formula>"不通过"</formula>
    </cfRule>
  </conditionalFormatting>
  <dataValidations count="7">
    <dataValidation sqref="B5:B26" showDropDown="0" showInputMessage="0" showErrorMessage="0" allowBlank="1" type="list" errorStyle="stop" operator="between">
      <formula1>"是,否"</formula1>
      <formula2>0</formula2>
    </dataValidation>
    <dataValidation sqref="C5:C26" showDropDown="0" showInputMessage="0" showErrorMessage="0" allowBlank="1" type="list" errorStyle="stop" operator="between">
      <formula1>"A3S,A5S,A8S,AD5S,AD8S,TC148,其他"</formula1>
      <formula2>0</formula2>
    </dataValidation>
    <dataValidation sqref="E5:E26" showDropDown="0" showInputMessage="0" showErrorMessage="0" allowBlank="1" type="list" errorStyle="stop" operator="between">
      <formula1>"对,错"</formula1>
      <formula2>0</formula2>
    </dataValidation>
    <dataValidation sqref="F5:F26" showDropDown="0" showInputMessage="0" showErrorMessage="0" allowBlank="1" type="list" errorStyle="stop" operator="between">
      <formula1>"直接可发,小改可发,需重写"</formula1>
      <formula2>0</formula2>
    </dataValidation>
    <dataValidation sqref="G5:G26" showDropDown="0" showInputMessage="0" showErrorMessage="0" allowBlank="1" type="list" errorStyle="stop" operator="between">
      <formula1>"配对相关,图不对,该配没配,无需图"</formula1>
      <formula2>0</formula2>
    </dataValidation>
    <dataValidation sqref="H5:H26" showDropDown="0" showInputMessage="0" showErrorMessage="0" allowBlank="1" type="list" errorStyle="stop" operator="between">
      <formula1>"通过,不通过"</formula1>
      <formula2>0</formula2>
    </dataValidation>
    <dataValidation sqref="I5:I26" showDropDown="0" showInputMessage="0" showErrorMessage="0" allowBlank="1" type="list" errorStyle="stop" operator="between">
      <formula1>"检索问题,生成问题,图片问题,机型判断问题,其他"</formula1>
      <formula2>0</formula2>
    </dataValidation>
  </dataValidations>
  <hyperlinks>
    <hyperlink xmlns:r="http://schemas.openxmlformats.org/officeDocument/2006/relationships" ref="L5" r:id="rId1"/>
    <hyperlink xmlns:r="http://schemas.openxmlformats.org/officeDocument/2006/relationships" ref="L6" r:id="rId2"/>
    <hyperlink xmlns:r="http://schemas.openxmlformats.org/officeDocument/2006/relationships" ref="L7" r:id="rId3"/>
    <hyperlink xmlns:r="http://schemas.openxmlformats.org/officeDocument/2006/relationships" ref="L8" r:id="rId4"/>
    <hyperlink xmlns:r="http://schemas.openxmlformats.org/officeDocument/2006/relationships" ref="L9" r:id="rId5"/>
    <hyperlink xmlns:r="http://schemas.openxmlformats.org/officeDocument/2006/relationships" ref="L10" r:id="rId6"/>
    <hyperlink xmlns:r="http://schemas.openxmlformats.org/officeDocument/2006/relationships" ref="L11" r:id="rId7"/>
    <hyperlink xmlns:r="http://schemas.openxmlformats.org/officeDocument/2006/relationships" ref="L12" r:id="rId8"/>
    <hyperlink xmlns:r="http://schemas.openxmlformats.org/officeDocument/2006/relationships" ref="L13" r:id="rId9"/>
    <hyperlink xmlns:r="http://schemas.openxmlformats.org/officeDocument/2006/relationships" ref="L14" r:id="rId10"/>
    <hyperlink xmlns:r="http://schemas.openxmlformats.org/officeDocument/2006/relationships" ref="L15" r:id="rId11"/>
    <hyperlink xmlns:r="http://schemas.openxmlformats.org/officeDocument/2006/relationships" ref="L16" r:id="rId12"/>
    <hyperlink xmlns:r="http://schemas.openxmlformats.org/officeDocument/2006/relationships" ref="L17" r:id="rId13"/>
    <hyperlink xmlns:r="http://schemas.openxmlformats.org/officeDocument/2006/relationships" ref="L18" r:id="rId14"/>
    <hyperlink xmlns:r="http://schemas.openxmlformats.org/officeDocument/2006/relationships" ref="L19" r:id="rId15"/>
    <hyperlink xmlns:r="http://schemas.openxmlformats.org/officeDocument/2006/relationships" ref="L20" r:id="rId16"/>
    <hyperlink xmlns:r="http://schemas.openxmlformats.org/officeDocument/2006/relationships" ref="L21" r:id="rId17"/>
    <hyperlink xmlns:r="http://schemas.openxmlformats.org/officeDocument/2006/relationships" ref="L22" r:id="rId18"/>
    <hyperlink xmlns:r="http://schemas.openxmlformats.org/officeDocument/2006/relationships" ref="L23" r:id="rId19"/>
    <hyperlink xmlns:r="http://schemas.openxmlformats.org/officeDocument/2006/relationships" ref="L24" r:id="rId20"/>
    <hyperlink xmlns:r="http://schemas.openxmlformats.org/officeDocument/2006/relationships" ref="L25" r:id="rId21"/>
    <hyperlink xmlns:r="http://schemas.openxmlformats.org/officeDocument/2006/relationships" ref="L26" r:id="rId22"/>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2026-07-08T07:51:40Z</dcterms:created>
  <dcterms:modified xmlns:dcterms="http://purl.org/dc/terms/" xmlns:xsi="http://www.w3.org/2001/XMLSchema-instance" xsi:type="dcterms:W3CDTF">2026-07-12T07:22:01Z</dcterms:modified>
  <cp:revision>0</cp:revision>
</cp:coreProperties>
</file>